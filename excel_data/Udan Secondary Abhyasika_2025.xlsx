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_Unique_Code" sheetId="1" r:id="rId5"/>
    <sheet state="visible" name="Attendance_data" sheetId="2" r:id="rId6"/>
  </sheets>
  <definedNames>
    <definedName name="Student_code">Database_Unique_Code!$B$4</definedName>
    <definedName name="student_name">Database_Unique_Code!$C$4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tc={0efd37b6-b846-471e-88a2-d0cb5f7e60db}</author>
    <author>tc={11eece82-3860-4612-85d6-9ef3512c8fd3}</author>
    <author>tc={146a33c8-940a-459d-9d42-ba2fcd98865b}</author>
    <author>tc={164a7681-7b20-4b55-a186-a50f16c10a3c}</author>
    <author>tc={23f74b48-6c53-4fa7-820e-f377ea86b958}</author>
    <author>tc={4f6f9a8f-3c8c-4589-b774-ce5cf26ec48d}</author>
    <author>tc={5dd5d71f-f69e-4d0e-8755-1f52f01ea2ad}</author>
    <author>tc={68375681-b0aa-44bf-a7e6-200debe65c7a}</author>
    <author>tc={6a5466d5-b52c-445f-be5a-93996000b31b}</author>
    <author>tc={c82b492f-1894-45a8-a821-4c34d861196a}</author>
    <author>tc={e2fb71b2-724b-4e17-afa0-c205966a08f0}</author>
  </authors>
  <commentList>
    <comment authorId="0" xr:uid="{0efd37b6-b846-471e-88a2-d0cb5f7e60db}" ref="O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update the marks. If the paper is conducted, submit them. If not, the last date is 4 March, 8 PM.
</t>
      </text>
    </comment>
    <comment authorId="1" xr:uid="{11eece82-3860-4612-85d6-9ef3512c8fd3}" ref="O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update the marks. If the paper is conducted, submit them. If not, the last date is 4 March, 8 PM.
</t>
      </text>
    </comment>
    <comment authorId="2" xr:uid="{146a33c8-940a-459d-9d42-ba2fcd98865b}" ref="O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update the marks. If the paper is conducted, submit them. If not, the last date is 4 March, 8 PM.
</t>
      </text>
    </comment>
    <comment authorId="3" xr:uid="{164a7681-7b20-4b55-a186-a50f16c10a3c}" ref="O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update the marks. If the paper is conducted, submit them. If not, the last date is 4 March, 8 PM.
</t>
      </text>
    </comment>
    <comment authorId="4" xr:uid="{23f74b48-6c53-4fa7-820e-f377ea86b958}" ref="O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update the marks. If the paper is conducted, submit them. If not, the last date is 4 March, 8 PM.
</t>
      </text>
    </comment>
    <comment authorId="5" xr:uid="{4f6f9a8f-3c8c-4589-b774-ce5cf26ec48d}" ref="O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update the marks. If the paper is conducted, submit them. If not, the last date is 4 March, 8 PM.
</t>
      </text>
    </comment>
    <comment authorId="6" xr:uid="{5dd5d71f-f69e-4d0e-8755-1f52f01ea2ad}" ref="O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update the marks. If the paper is conducted, submit them. If not, the last date is 4 March, 8 PM.
</t>
      </text>
    </comment>
    <comment authorId="7" xr:uid="{68375681-b0aa-44bf-a7e6-200debe65c7a}" ref="O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update the marks. If the paper is conducted, submit them. If not, the last date is 4 March, 8 PM.
</t>
      </text>
    </comment>
    <comment authorId="8" xr:uid="{6a5466d5-b52c-445f-be5a-93996000b31b}" ref="O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update the marks. If the paper is conducted, submit them. If not, the last date is 4 March, 8 PM.
</t>
      </text>
    </comment>
    <comment authorId="9" xr:uid="{c82b492f-1894-45a8-a821-4c34d861196a}" ref="O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update the marks. If the paper is conducted, submit them. If not, the last date is 4 March, 8 PM.
</t>
      </text>
    </comment>
    <comment authorId="10" xr:uid="{e2fb71b2-724b-4e17-afa0-c205966a08f0}" ref="O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update the marks. If the paper is conducted, submit them. If not, the last date is 4 March, 8 PM.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tc={0bf54723-eecb-4f8b-8b07-b55dabe55a48}</author>
    <author>tc={6c1499e9-62c9-4dce-a126-9aff2c0aff8f}</author>
    <author>tc={712dd793-b1c1-4971-aca7-26727a146d7a}</author>
  </authors>
  <commentList>
    <comment authorId="0" xr:uid="{0bf54723-eecb-4f8b-8b07-b55dabe55a48}" ref="AF1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Mark attendance properly
Reply:
	They started to came in abhyasika from 2nd November
</t>
      </text>
    </comment>
    <comment authorId="1" xr:uid="{6c1499e9-62c9-4dce-a126-9aff2c0aff8f}" ref="H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mark attendance properly
</t>
      </text>
    </comment>
    <comment authorId="2" xr:uid="{712dd793-b1c1-4971-aca7-26727a146d7a}" ref="AA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Mark attendance properly
Reply:
	Marked as resolved
Reply:
	Re-opened
</t>
      </text>
    </comment>
  </commentList>
</comments>
</file>

<file path=xl/sharedStrings.xml><?xml version="1.0" encoding="utf-8"?>
<sst xmlns="http://schemas.openxmlformats.org/spreadsheetml/2006/main" count="7579" uniqueCount="125">
  <si>
    <t>Attendance Data</t>
  </si>
  <si>
    <t>Students Assessment Marks</t>
  </si>
  <si>
    <t>Sr. no</t>
  </si>
  <si>
    <t>Unique Code</t>
  </si>
  <si>
    <t>Name of student</t>
  </si>
  <si>
    <t>Std</t>
  </si>
  <si>
    <t>Gender</t>
  </si>
  <si>
    <t>Contact Number</t>
  </si>
  <si>
    <t>Favourite Hobby</t>
  </si>
  <si>
    <t>Year of Joining in Abhyasika</t>
  </si>
  <si>
    <t>Status</t>
  </si>
  <si>
    <t>July</t>
  </si>
  <si>
    <t>Aug</t>
  </si>
  <si>
    <t>sep</t>
  </si>
  <si>
    <t>Dec</t>
  </si>
  <si>
    <t>Jan</t>
  </si>
  <si>
    <t>Feb</t>
  </si>
  <si>
    <t>Overall attendance</t>
  </si>
  <si>
    <t>NMUD01</t>
  </si>
  <si>
    <t>Tanishka chandrakant bordekar</t>
  </si>
  <si>
    <t>7th</t>
  </si>
  <si>
    <t>Girl</t>
  </si>
  <si>
    <t>Singing</t>
  </si>
  <si>
    <t xml:space="preserve">Active </t>
  </si>
  <si>
    <t>NMUD02</t>
  </si>
  <si>
    <t>Rashi vitthal sakharkar</t>
  </si>
  <si>
    <t>8th</t>
  </si>
  <si>
    <t>Drawing</t>
  </si>
  <si>
    <t>NMUD05</t>
  </si>
  <si>
    <t>Rakhi vitthal sakharkar</t>
  </si>
  <si>
    <t>10th</t>
  </si>
  <si>
    <t>Dance</t>
  </si>
  <si>
    <t>NA</t>
  </si>
  <si>
    <t>NMUD06</t>
  </si>
  <si>
    <t>Ankita Ravindra Roy</t>
  </si>
  <si>
    <t>Reading and Writing</t>
  </si>
  <si>
    <t>NMUD08</t>
  </si>
  <si>
    <t>Ashok Govinda Kanojiya</t>
  </si>
  <si>
    <t>Boy</t>
  </si>
  <si>
    <t>Playing Kabaddi</t>
  </si>
  <si>
    <t>NMUD28</t>
  </si>
  <si>
    <t>Soham anil waghmare</t>
  </si>
  <si>
    <t>9th</t>
  </si>
  <si>
    <t>NMUD29</t>
  </si>
  <si>
    <t>Subodh Ravi Hatkar</t>
  </si>
  <si>
    <t>NMUD30</t>
  </si>
  <si>
    <t>Mohini Bansraj Kanojiya</t>
  </si>
  <si>
    <t>Reading</t>
  </si>
  <si>
    <t>NMUD33</t>
  </si>
  <si>
    <t>Aditya Gyaniram Mohare</t>
  </si>
  <si>
    <t>NMUD59</t>
  </si>
  <si>
    <t>Wajid Mainuddin Ansari</t>
  </si>
  <si>
    <t>NMUD60</t>
  </si>
  <si>
    <t>sajid Mainuddin Ansari</t>
  </si>
  <si>
    <t>NMUD62</t>
  </si>
  <si>
    <t>Sachin Gangaram Sahani</t>
  </si>
  <si>
    <t>Playing and reading</t>
  </si>
  <si>
    <t>NMUD63</t>
  </si>
  <si>
    <t>Aarohi Ravi Hatkar</t>
  </si>
  <si>
    <t>5th</t>
  </si>
  <si>
    <t>Skipping</t>
  </si>
  <si>
    <t>NMUD70</t>
  </si>
  <si>
    <t>Manav Ganesh Shinde</t>
  </si>
  <si>
    <t>Playing Cricket</t>
  </si>
  <si>
    <t>NMUD73</t>
  </si>
  <si>
    <t>Anjali Surendra Paswan</t>
  </si>
  <si>
    <t>3rd</t>
  </si>
  <si>
    <t>Craft</t>
  </si>
  <si>
    <t>NMUD74</t>
  </si>
  <si>
    <t>Chanchal munna rajbhar</t>
  </si>
  <si>
    <t>NMUD75</t>
  </si>
  <si>
    <t>Ishani Surendra Paswan</t>
  </si>
  <si>
    <t>NMUD76</t>
  </si>
  <si>
    <t>Shivani Yogendra Rajbhar</t>
  </si>
  <si>
    <t>NMUD77</t>
  </si>
  <si>
    <t>Atharv Nilesh Hatkar</t>
  </si>
  <si>
    <t>4th</t>
  </si>
  <si>
    <t>NMUD78</t>
  </si>
  <si>
    <t>Riya Mastram Varma</t>
  </si>
  <si>
    <t>Boxing</t>
  </si>
  <si>
    <t>NMUD79</t>
  </si>
  <si>
    <t>Shivam Munna rajbhar</t>
  </si>
  <si>
    <t>6th</t>
  </si>
  <si>
    <t>NMUD80</t>
  </si>
  <si>
    <t>Sanjana Surendra Paswan</t>
  </si>
  <si>
    <t>Judo and kusti</t>
  </si>
  <si>
    <t>NMUD81</t>
  </si>
  <si>
    <t>Jyoti yogendra Rajbhar</t>
  </si>
  <si>
    <t>NMUD82</t>
  </si>
  <si>
    <t>Pooja Manpuran Malhotra</t>
  </si>
  <si>
    <t>Dancing</t>
  </si>
  <si>
    <t>Dropout</t>
  </si>
  <si>
    <t>D</t>
  </si>
  <si>
    <t>NMUD83</t>
  </si>
  <si>
    <t>Ananya Ganesh Shinde</t>
  </si>
  <si>
    <t>NMUD84</t>
  </si>
  <si>
    <t>Radhika Bhimrao Gavhane</t>
  </si>
  <si>
    <t>NMUD85</t>
  </si>
  <si>
    <t>Rajvi mishra</t>
  </si>
  <si>
    <t>NMUD86</t>
  </si>
  <si>
    <t>Asad sirajuddin shaikh</t>
  </si>
  <si>
    <t>Book balance</t>
  </si>
  <si>
    <t>NMUD87</t>
  </si>
  <si>
    <t>Anas sirajuddin shaikh</t>
  </si>
  <si>
    <t>Running</t>
  </si>
  <si>
    <t>NMUD88</t>
  </si>
  <si>
    <t>Anam sirajuddin shaikh</t>
  </si>
  <si>
    <t>Kabbadi</t>
  </si>
  <si>
    <t xml:space="preserve">अभ्यासिकाचे नाव </t>
  </si>
  <si>
    <t xml:space="preserve">वेळ </t>
  </si>
  <si>
    <t>Name of Students</t>
  </si>
  <si>
    <t>Total Student in July</t>
  </si>
  <si>
    <t>Present
students in month</t>
  </si>
  <si>
    <t>Attendence % for July</t>
  </si>
  <si>
    <t>Absent</t>
  </si>
  <si>
    <t>Holiday</t>
  </si>
  <si>
    <t xml:space="preserve">Leave </t>
  </si>
  <si>
    <t>Sr. No.</t>
  </si>
  <si>
    <t>Month</t>
  </si>
  <si>
    <t>Date</t>
  </si>
  <si>
    <t>P</t>
  </si>
  <si>
    <t>A</t>
  </si>
  <si>
    <t>H</t>
  </si>
  <si>
    <t>L</t>
  </si>
  <si>
    <t>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</si>
</sst>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&quot;-&quot;yy"/>
    <numFmt numFmtId="165" formatCode="D/M/YYYY"/>
    <numFmt numFmtId="166" formatCode="m/d/yy"/>
    <numFmt numFmtId="167" formatCode="d&quot;/&quot;m"/>
    <numFmt numFmtId="168" formatCode="m&quot;/&quot;d"/>
    <numFmt numFmtId="169" formatCode="ddd"/>
    <numFmt numFmtId="170" formatCode="d&quot;-&quot;mmm&quot;-&quot;yyyy"/>
    <numFmt numFmtId="171" formatCode="d/m/yyyy"/>
  </numFmts>
  <fonts count="22">
    <font>
      <sz val="10.0"/>
      <color rgb="FF000000"/>
      <name val="Arial"/>
      <scheme val="minor"/>
    </font>
    <font>
      <sz val="11.0"/>
      <color theme="1"/>
      <name val="Calibri"/>
    </font>
    <font>
      <b/>
      <i/>
      <sz val="14.0"/>
      <color rgb="FF303F9F"/>
      <name val="Cambria"/>
    </font>
    <font/>
    <font>
      <b/>
      <i/>
      <sz val="11.0"/>
      <color theme="1"/>
      <name val="Cambria"/>
    </font>
    <font>
      <sz val="11.0"/>
      <color rgb="FFCC0000"/>
      <name val="Arial"/>
    </font>
    <font>
      <b/>
      <i/>
      <sz val="11.0"/>
      <color rgb="FF303F9F"/>
      <name val="Cambria"/>
    </font>
    <font>
      <i/>
      <sz val="11.0"/>
      <color rgb="FF303F9F"/>
      <name val="Cambria"/>
    </font>
    <font>
      <sz val="12.0"/>
      <color theme="1"/>
      <name val="Times New Roman"/>
    </font>
    <font>
      <sz val="11.0"/>
      <color theme="1"/>
      <name val="Arial"/>
    </font>
    <font>
      <sz val="11.0"/>
      <color rgb="FF000000"/>
      <name val="Arial"/>
    </font>
    <font>
      <b/>
      <i/>
      <sz val="12.0"/>
      <color rgb="FFFF0000"/>
      <name val="Cambria"/>
    </font>
    <font>
      <b/>
      <sz val="12.0"/>
      <color rgb="FF303F9F"/>
      <name val="Cambria"/>
    </font>
    <font>
      <b/>
      <i/>
      <sz val="12.0"/>
      <color rgb="FF6772AD"/>
      <name val="Cambria"/>
    </font>
    <font>
      <b/>
      <sz val="11.0"/>
      <color rgb="FF000000"/>
      <name val="Cambria"/>
    </font>
    <font>
      <b/>
      <i/>
      <sz val="12.0"/>
      <color rgb="FF303F9F"/>
      <name val="Cambria"/>
    </font>
    <font>
      <sz val="11.0"/>
      <color rgb="FF6772AD"/>
      <name val="Cambria"/>
    </font>
    <font>
      <i/>
      <sz val="12.0"/>
      <color rgb="FF6772AD"/>
      <name val="Cambria"/>
    </font>
    <font>
      <sz val="12.0"/>
      <color rgb="FF6772AD"/>
      <name val="Cambria"/>
    </font>
    <font>
      <sz val="12.0"/>
      <color rgb="FF000000"/>
      <name val="Calibri"/>
    </font>
    <font>
      <color theme="1"/>
      <name val="Arial"/>
      <scheme val="minor"/>
    </font>
    <font>
      <sz val="11.0"/>
      <color theme="1"/>
      <name val="Times New Roman"/>
    </font>
  </fonts>
  <fills count="19">
    <fill>
      <patternFill patternType="none"/>
    </fill>
    <fill>
      <patternFill patternType="lightGray"/>
    </fill>
    <fill>
      <patternFill patternType="solid">
        <fgColor rgb="FFFA8F1C"/>
        <bgColor rgb="FFFA8F1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1" numFmtId="0" xfId="0" applyBorder="1" applyFill="1" applyFont="1"/>
    <xf borderId="2" fillId="3" fontId="2" numFmtId="49" xfId="0" applyAlignment="1" applyBorder="1" applyFill="1" applyFont="1" applyNumberFormat="1">
      <alignment horizontal="center" readingOrder="0" shrinkToFit="0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center" shrinkToFit="0" wrapText="1"/>
    </xf>
    <xf borderId="1" fillId="4" fontId="5" numFmtId="9" xfId="0" applyAlignment="1" applyBorder="1" applyFill="1" applyFont="1" applyNumberFormat="1">
      <alignment horizontal="center" readingOrder="0" shrinkToFit="0" vertical="bottom" wrapText="0"/>
    </xf>
    <xf borderId="2" fillId="0" fontId="4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1" fillId="5" fontId="6" numFmtId="0" xfId="0" applyAlignment="1" applyBorder="1" applyFill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1" fillId="3" fontId="6" numFmtId="164" xfId="0" applyAlignment="1" applyBorder="1" applyFont="1" applyNumberFormat="1">
      <alignment horizontal="center" readingOrder="0" shrinkToFit="0" wrapText="1"/>
    </xf>
    <xf borderId="1" fillId="3" fontId="6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horizontal="right" vertical="bottom"/>
    </xf>
    <xf borderId="1" fillId="0" fontId="9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0" numFmtId="9" xfId="0" applyAlignment="1" applyBorder="1" applyFont="1" applyNumberFormat="1">
      <alignment horizontal="right" readingOrder="0" shrinkToFit="0" vertical="bottom" wrapText="0"/>
    </xf>
    <xf borderId="1" fillId="0" fontId="1" numFmtId="9" xfId="0" applyBorder="1" applyFont="1" applyNumberFormat="1"/>
    <xf borderId="1" fillId="6" fontId="1" numFmtId="0" xfId="0" applyAlignment="1" applyBorder="1" applyFill="1" applyFont="1">
      <alignment readingOrder="0"/>
    </xf>
    <xf borderId="1" fillId="0" fontId="9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165" xfId="0" applyAlignment="1" applyBorder="1" applyFont="1" applyNumberFormat="1">
      <alignment vertical="bottom"/>
    </xf>
    <xf borderId="1" fillId="0" fontId="1" numFmtId="166" xfId="0" applyAlignment="1" applyBorder="1" applyFont="1" applyNumberFormat="1">
      <alignment vertical="bottom"/>
    </xf>
    <xf borderId="1" fillId="0" fontId="1" numFmtId="3" xfId="0" applyBorder="1" applyFont="1" applyNumberFormat="1"/>
    <xf borderId="1" fillId="0" fontId="11" numFmtId="0" xfId="0" applyAlignment="1" applyBorder="1" applyFont="1">
      <alignment shrinkToFit="0" vertical="bottom" wrapText="1"/>
    </xf>
    <xf borderId="1" fillId="6" fontId="1" numFmtId="0" xfId="0" applyBorder="1" applyFont="1"/>
    <xf borderId="1" fillId="6" fontId="1" numFmtId="9" xfId="0" applyBorder="1" applyFont="1" applyNumberFormat="1"/>
    <xf borderId="1" fillId="0" fontId="12" numFmtId="0" xfId="0" applyAlignment="1" applyBorder="1" applyFont="1">
      <alignment shrinkToFit="0" wrapText="1"/>
    </xf>
    <xf borderId="1" fillId="0" fontId="13" numFmtId="0" xfId="0" applyAlignment="1" applyBorder="1" applyFont="1">
      <alignment shrinkToFit="0" vertical="top" wrapText="1"/>
    </xf>
    <xf borderId="1" fillId="7" fontId="14" numFmtId="167" xfId="0" applyAlignment="1" applyBorder="1" applyFill="1" applyFont="1" applyNumberFormat="1">
      <alignment horizontal="center" shrinkToFit="0" wrapText="1"/>
    </xf>
    <xf borderId="1" fillId="6" fontId="12" numFmtId="168" xfId="0" applyAlignment="1" applyBorder="1" applyFont="1" applyNumberFormat="1">
      <alignment horizontal="center"/>
    </xf>
    <xf borderId="1" fillId="6" fontId="12" numFmtId="0" xfId="0" applyAlignment="1" applyBorder="1" applyFont="1">
      <alignment horizontal="center" readingOrder="0" shrinkToFit="0" wrapText="1"/>
    </xf>
    <xf borderId="1" fillId="6" fontId="12" numFmtId="9" xfId="0" applyAlignment="1" applyBorder="1" applyFont="1" applyNumberFormat="1">
      <alignment horizontal="center" shrinkToFit="0" wrapText="1"/>
    </xf>
    <xf borderId="1" fillId="6" fontId="12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horizontal="center" shrinkToFit="0" vertical="top" wrapText="1"/>
    </xf>
    <xf borderId="1" fillId="6" fontId="16" numFmtId="49" xfId="0" applyAlignment="1" applyBorder="1" applyFont="1" applyNumberFormat="1">
      <alignment horizontal="center" vertical="top"/>
    </xf>
    <xf borderId="1" fillId="6" fontId="1" numFmtId="49" xfId="0" applyAlignment="1" applyBorder="1" applyFont="1" applyNumberFormat="1">
      <alignment vertical="top"/>
    </xf>
    <xf borderId="1" fillId="6" fontId="1" numFmtId="169" xfId="0" applyAlignment="1" applyBorder="1" applyFont="1" applyNumberFormat="1">
      <alignment vertical="top"/>
    </xf>
    <xf borderId="1" fillId="6" fontId="1" numFmtId="0" xfId="0" applyAlignment="1" applyBorder="1" applyFont="1">
      <alignment readingOrder="0" vertical="top"/>
    </xf>
    <xf borderId="1" fillId="6" fontId="17" numFmtId="0" xfId="0" applyAlignment="1" applyBorder="1" applyFont="1">
      <alignment horizontal="center" shrinkToFit="0" vertical="top" wrapText="1"/>
    </xf>
    <xf borderId="1" fillId="6" fontId="1" numFmtId="9" xfId="0" applyAlignment="1" applyBorder="1" applyFont="1" applyNumberFormat="1">
      <alignment vertical="top"/>
    </xf>
    <xf borderId="1" fillId="6" fontId="17" numFmtId="0" xfId="0" applyAlignment="1" applyBorder="1" applyFont="1">
      <alignment horizontal="center" readingOrder="0" shrinkToFit="0" vertical="top" wrapText="1"/>
    </xf>
    <xf borderId="1" fillId="6" fontId="1" numFmtId="0" xfId="0" applyAlignment="1" applyBorder="1" applyFont="1">
      <alignment vertical="top"/>
    </xf>
    <xf borderId="1" fillId="6" fontId="1" numFmtId="0" xfId="0" applyAlignment="1" applyBorder="1" applyFont="1">
      <alignment vertical="bottom"/>
    </xf>
    <xf borderId="1" fillId="8" fontId="13" numFmtId="164" xfId="0" applyAlignment="1" applyBorder="1" applyFill="1" applyFont="1" applyNumberFormat="1">
      <alignment shrinkToFit="0" vertical="top" wrapText="1"/>
    </xf>
    <xf borderId="1" fillId="0" fontId="15" numFmtId="170" xfId="0" applyAlignment="1" applyBorder="1" applyFont="1" applyNumberFormat="1">
      <alignment horizontal="center" readingOrder="0" shrinkToFit="0" vertical="top" wrapText="1"/>
    </xf>
    <xf borderId="1" fillId="5" fontId="18" numFmtId="169" xfId="0" applyAlignment="1" applyBorder="1" applyFont="1" applyNumberFormat="1">
      <alignment horizontal="center" vertical="top"/>
    </xf>
    <xf borderId="1" fillId="5" fontId="19" numFmtId="0" xfId="0" applyAlignment="1" applyBorder="1" applyFont="1">
      <alignment horizontal="left" readingOrder="0" vertical="bottom"/>
    </xf>
    <xf borderId="1" fillId="5" fontId="19" numFmtId="169" xfId="0" applyAlignment="1" applyBorder="1" applyFont="1" applyNumberFormat="1">
      <alignment horizontal="left" vertical="top"/>
    </xf>
    <xf borderId="1" fillId="5" fontId="19" numFmtId="0" xfId="0" applyAlignment="1" applyBorder="1" applyFont="1">
      <alignment horizontal="left" readingOrder="0" vertical="top"/>
    </xf>
    <xf borderId="1" fillId="5" fontId="1" numFmtId="169" xfId="0" applyAlignment="1" applyBorder="1" applyFont="1" applyNumberFormat="1">
      <alignment vertical="top"/>
    </xf>
    <xf borderId="0" fillId="5" fontId="20" numFmtId="0" xfId="0" applyFont="1"/>
    <xf borderId="1" fillId="5" fontId="1" numFmtId="49" xfId="0" applyAlignment="1" applyBorder="1" applyFont="1" applyNumberFormat="1">
      <alignment vertical="top"/>
    </xf>
    <xf borderId="1" fillId="0" fontId="20" numFmtId="49" xfId="0" applyAlignment="1" applyBorder="1" applyFont="1" applyNumberFormat="1">
      <alignment horizontal="center"/>
    </xf>
    <xf borderId="1" fillId="6" fontId="18" numFmtId="169" xfId="0" applyAlignment="1" applyBorder="1" applyFont="1" applyNumberFormat="1">
      <alignment horizontal="center" vertical="top"/>
    </xf>
    <xf borderId="1" fillId="6" fontId="19" numFmtId="0" xfId="0" applyAlignment="1" applyBorder="1" applyFont="1">
      <alignment horizontal="left" readingOrder="0" vertical="bottom"/>
    </xf>
    <xf borderId="1" fillId="6" fontId="19" numFmtId="0" xfId="0" applyAlignment="1" applyBorder="1" applyFont="1">
      <alignment horizontal="left" readingOrder="0" vertical="top"/>
    </xf>
    <xf borderId="1" fillId="6" fontId="19" numFmtId="169" xfId="0" applyAlignment="1" applyBorder="1" applyFont="1" applyNumberFormat="1">
      <alignment horizontal="left" vertical="top"/>
    </xf>
    <xf borderId="1" fillId="6" fontId="19" numFmtId="0" xfId="0" applyAlignment="1" applyBorder="1" applyFont="1">
      <alignment horizontal="left" vertical="bottom"/>
    </xf>
    <xf borderId="1" fillId="6" fontId="8" numFmtId="0" xfId="0" applyAlignment="1" applyBorder="1" applyFont="1">
      <alignment horizontal="center" vertical="bottom"/>
    </xf>
    <xf borderId="1" fillId="6" fontId="21" numFmtId="0" xfId="0" applyAlignment="1" applyBorder="1" applyFont="1">
      <alignment horizontal="center"/>
    </xf>
    <xf borderId="1" fillId="5" fontId="8" numFmtId="0" xfId="0" applyAlignment="1" applyBorder="1" applyFont="1">
      <alignment horizontal="center" vertical="bottom"/>
    </xf>
    <xf borderId="1" fillId="5" fontId="19" numFmtId="0" xfId="0" applyAlignment="1" applyBorder="1" applyFont="1">
      <alignment horizontal="left" vertical="bottom"/>
    </xf>
    <xf borderId="1" fillId="5" fontId="8" numFmtId="0" xfId="0" applyAlignment="1" applyBorder="1" applyFont="1">
      <alignment horizontal="center" readingOrder="0" vertical="bottom"/>
    </xf>
    <xf borderId="1" fillId="0" fontId="19" numFmtId="0" xfId="0" applyAlignment="1" applyBorder="1" applyFont="1">
      <alignment horizontal="left"/>
    </xf>
    <xf borderId="1" fillId="7" fontId="13" numFmtId="164" xfId="0" applyAlignment="1" applyBorder="1" applyFont="1" applyNumberFormat="1">
      <alignment shrinkToFit="0" vertical="top" wrapText="1"/>
    </xf>
    <xf borderId="1" fillId="5" fontId="1" numFmtId="0" xfId="0" applyAlignment="1" applyBorder="1" applyFont="1">
      <alignment readingOrder="0" vertical="bottom"/>
    </xf>
    <xf borderId="1" fillId="5" fontId="1" numFmtId="0" xfId="0" applyAlignment="1" applyBorder="1" applyFont="1">
      <alignment vertical="bottom"/>
    </xf>
    <xf borderId="1" fillId="6" fontId="19" numFmtId="49" xfId="0" applyAlignment="1" applyBorder="1" applyFont="1" applyNumberFormat="1">
      <alignment horizontal="left" readingOrder="0" vertical="top"/>
    </xf>
    <xf borderId="1" fillId="6" fontId="19" numFmtId="49" xfId="0" applyAlignment="1" applyBorder="1" applyFont="1" applyNumberFormat="1">
      <alignment horizontal="left" vertical="top"/>
    </xf>
    <xf borderId="1" fillId="9" fontId="19" numFmtId="0" xfId="0" applyAlignment="1" applyBorder="1" applyFill="1" applyFont="1">
      <alignment horizontal="left" readingOrder="0" vertical="top"/>
    </xf>
    <xf borderId="1" fillId="10" fontId="13" numFmtId="164" xfId="0" applyAlignment="1" applyBorder="1" applyFill="1" applyFont="1" applyNumberFormat="1">
      <alignment shrinkToFit="0" vertical="top" wrapText="1"/>
    </xf>
    <xf borderId="1" fillId="11" fontId="13" numFmtId="164" xfId="0" applyAlignment="1" applyBorder="1" applyFill="1" applyFont="1" applyNumberFormat="1">
      <alignment shrinkToFit="0" vertical="top" wrapText="1"/>
    </xf>
    <xf borderId="1" fillId="0" fontId="19" numFmtId="0" xfId="0" applyAlignment="1" applyBorder="1" applyFont="1">
      <alignment horizontal="left" readingOrder="0"/>
    </xf>
    <xf borderId="1" fillId="12" fontId="13" numFmtId="164" xfId="0" applyAlignment="1" applyBorder="1" applyFill="1" applyFont="1" applyNumberFormat="1">
      <alignment shrinkToFit="0" vertical="top" wrapText="1"/>
    </xf>
    <xf borderId="1" fillId="5" fontId="1" numFmtId="0" xfId="0" applyBorder="1" applyFont="1"/>
    <xf borderId="1" fillId="13" fontId="13" numFmtId="164" xfId="0" applyAlignment="1" applyBorder="1" applyFill="1" applyFont="1" applyNumberFormat="1">
      <alignment shrinkToFit="0" vertical="top" wrapText="1"/>
    </xf>
    <xf borderId="1" fillId="9" fontId="19" numFmtId="169" xfId="0" applyAlignment="1" applyBorder="1" applyFont="1" applyNumberFormat="1">
      <alignment horizontal="left" vertical="top"/>
    </xf>
    <xf borderId="1" fillId="9" fontId="19" numFmtId="0" xfId="0" applyAlignment="1" applyBorder="1" applyFont="1">
      <alignment horizontal="left" readingOrder="0" vertical="bottom"/>
    </xf>
    <xf borderId="1" fillId="14" fontId="13" numFmtId="164" xfId="0" applyAlignment="1" applyBorder="1" applyFill="1" applyFont="1" applyNumberFormat="1">
      <alignment shrinkToFit="0" vertical="top" wrapText="1"/>
    </xf>
    <xf borderId="1" fillId="15" fontId="13" numFmtId="164" xfId="0" applyAlignment="1" applyBorder="1" applyFill="1" applyFont="1" applyNumberFormat="1">
      <alignment shrinkToFit="0" vertical="top" wrapText="1"/>
    </xf>
    <xf borderId="1" fillId="6" fontId="1" numFmtId="0" xfId="0" applyAlignment="1" applyBorder="1" applyFont="1">
      <alignment readingOrder="0" vertical="bottom"/>
    </xf>
    <xf borderId="1" fillId="16" fontId="13" numFmtId="164" xfId="0" applyAlignment="1" applyBorder="1" applyFill="1" applyFont="1" applyNumberFormat="1">
      <alignment shrinkToFit="0" vertical="top" wrapText="1"/>
    </xf>
    <xf borderId="1" fillId="17" fontId="13" numFmtId="164" xfId="0" applyAlignment="1" applyBorder="1" applyFill="1" applyFont="1" applyNumberFormat="1">
      <alignment shrinkToFit="0" vertical="top" wrapText="1"/>
    </xf>
    <xf borderId="1" fillId="18" fontId="13" numFmtId="164" xfId="0" applyAlignment="1" applyBorder="1" applyFill="1" applyFont="1" applyNumberFormat="1">
      <alignment shrinkToFit="0" vertical="top" wrapText="1"/>
    </xf>
    <xf borderId="0" fillId="0" fontId="20" numFmtId="0" xfId="0" applyAlignment="1" applyFont="1">
      <alignment readingOrder="0"/>
    </xf>
    <xf borderId="1" fillId="5" fontId="1" numFmtId="0" xfId="0" applyAlignment="1" applyBorder="1" applyFont="1">
      <alignment readingOrder="0"/>
    </xf>
    <xf borderId="1" fillId="0" fontId="15" numFmtId="171" xfId="0" applyAlignment="1" applyBorder="1" applyFont="1" applyNumberFormat="1">
      <alignment horizontal="center" readingOrder="0"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handni Kanojiya" id="{4cb2d5a0-a3f6-4f16-ab42-521d10c64842}" providerId="google-sheets"/>
  <x18tc:person displayName="Samutkarsh Urban" id="{0d262677-46d1-457c-b12f-97cd079f25b9}" providerId="google-sheets"/>
  <x18tc:person displayName="Bipin Kumar Mishra" id="{f1e06a57-6c02-47e0-96d6-539f44a4ceca}" providerId="google-sheets"/>
  <x18tc:person displayName="Chandni Kanojiya" id="{c141cf70-29a0-4af6-8ba7-9d82f4aa55b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33" dT="2026-03-04T09:19:38.00" personId="{f1e06a57-6c02-47e0-96d6-539f44a4ceca}" id="{68375681-b0aa-44bf-a7e6-200debe65c7a}" done="1">
    <x18tc:text xml:space="preserve">Please update the marks. If the paper is conducted, submit them. If not, the last date is 4 March, 8 PM.</x18tc:text>
  </x18tc:threadedComment>
  <x18tc:threadedComment ref="O25" dT="2026-03-04T09:18:04.00" personId="{f1e06a57-6c02-47e0-96d6-539f44a4ceca}" id="{5dd5d71f-f69e-4d0e-8755-1f52f01ea2ad}" done="1">
    <x18tc:text xml:space="preserve">Please update the marks. If the paper is conducted, submit them. If not, the last date is 4 March, 8 PM.</x18tc:text>
  </x18tc:threadedComment>
  <x18tc:threadedComment ref="O32" dT="2026-03-04T09:19:25.00" personId="{f1e06a57-6c02-47e0-96d6-539f44a4ceca}" id="{6a5466d5-b52c-445f-be5a-93996000b31b}" done="1">
    <x18tc:text xml:space="preserve">Please update the marks. If the paper is conducted, submit them. If not, the last date is 4 March, 8 PM.</x18tc:text>
  </x18tc:threadedComment>
  <x18tc:threadedComment ref="O26" dT="2026-03-04T09:18:13.00" personId="{f1e06a57-6c02-47e0-96d6-539f44a4ceca}" id="{146a33c8-940a-459d-9d42-ba2fcd98865b}" done="1">
    <x18tc:text xml:space="preserve">Please update the marks. If the paper is conducted, submit them. If not, the last date is 4 March, 8 PM.</x18tc:text>
  </x18tc:threadedComment>
  <x18tc:threadedComment ref="O13" dT="2026-03-04T09:17:05.00" personId="{f1e06a57-6c02-47e0-96d6-539f44a4ceca}" id="{11eece82-3860-4612-85d6-9ef3512c8fd3}" done="0">
    <x18tc:text xml:space="preserve">Please update the marks. If the paper is conducted, submit them. If not, the last date is 4 March, 8 PM.</x18tc:text>
  </x18tc:threadedComment>
  <x18tc:threadedComment ref="O20" dT="2026-03-04T09:17:40.00" personId="{f1e06a57-6c02-47e0-96d6-539f44a4ceca}" id="{164a7681-7b20-4b55-a186-a50f16c10a3c}" done="1">
    <x18tc:text xml:space="preserve">Please update the marks. If the paper is conducted, submit them. If not, the last date is 4 March, 8 PM.</x18tc:text>
  </x18tc:threadedComment>
  <x18tc:threadedComment ref="O29" dT="2026-03-04T09:18:41.00" personId="{f1e06a57-6c02-47e0-96d6-539f44a4ceca}" id="{4f6f9a8f-3c8c-4589-b774-ce5cf26ec48d}" done="1">
    <x18tc:text xml:space="preserve">Please update the marks. If the paper is conducted, submit them. If not, the last date is 4 March, 8 PM.</x18tc:text>
  </x18tc:threadedComment>
  <x18tc:threadedComment ref="O22" dT="2026-03-04T09:17:50.00" personId="{f1e06a57-6c02-47e0-96d6-539f44a4ceca}" id="{0efd37b6-b846-471e-88a2-d0cb5f7e60db}" done="1">
    <x18tc:text xml:space="preserve">Please update the marks. If the paper is conducted, submit them. If not, the last date is 4 March, 8 PM.</x18tc:text>
  </x18tc:threadedComment>
  <x18tc:threadedComment ref="O34" dT="2026-03-04T09:19:45.00" personId="{f1e06a57-6c02-47e0-96d6-539f44a4ceca}" id="{c82b492f-1894-45a8-a821-4c34d861196a}" done="1">
    <x18tc:text xml:space="preserve">Please update the marks. If the paper is conducted, submit them. If not, the last date is 4 March, 8 PM.</x18tc:text>
  </x18tc:threadedComment>
  <x18tc:threadedComment ref="O16" dT="2026-03-04T09:17:17.00" personId="{f1e06a57-6c02-47e0-96d6-539f44a4ceca}" id="{23f74b48-6c53-4fa7-820e-f377ea86b958}" done="0">
    <x18tc:text xml:space="preserve">Please update the marks. If the paper is conducted, submit them. If not, the last date is 4 March, 8 PM.</x18tc:text>
  </x18tc:threadedComment>
  <x18tc:threadedComment ref="O19" dT="2026-03-04T09:17:29.00" personId="{f1e06a57-6c02-47e0-96d6-539f44a4ceca}" id="{e2fb71b2-724b-4e17-afa0-c205966a08f0}" done="1">
    <x18tc:text xml:space="preserve">Please update the marks. If the paper is conducted, submit them. If not, the last date is 4 March, 8 PM.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A61" dT="2025-12-30T13:36:54.00" personId="{0d262677-46d1-457c-b12f-97cd079f25b9}" id="{712dd793-b1c1-4971-aca7-26727a146d7a}" done="1">
    <x18tc:text xml:space="preserve">Mark attendance properly</x18tc:text>
  </x18tc:threadedComment>
  <x18tc:threadedComment ref="AA61" dT="2026-01-21T00:33:13.00" personId="{4cb2d5a0-a3f6-4f16-ab42-521d10c64842}" id="{3093ddbd-6825-4127-844d-7bdde7763bce}" parentId="{712dd793-b1c1-4971-aca7-26727a146d7a}">
    <x18tc:text xml:space="preserve">Marked as resolved</x18tc:text>
  </x18tc:threadedComment>
  <x18tc:threadedComment ref="AA61" dT="2026-01-21T00:33:27.00" personId="{4cb2d5a0-a3f6-4f16-ab42-521d10c64842}" id="{a7ee3693-8d14-4b47-880d-5c58ba0b22e4}" parentId="{712dd793-b1c1-4971-aca7-26727a146d7a}">
    <x18tc:text xml:space="preserve">Re-opened</x18tc:text>
  </x18tc:threadedComment>
  <x18tc:threadedComment ref="AF157" dT="2025-12-30T13:35:07.00" personId="{0d262677-46d1-457c-b12f-97cd079f25b9}" id="{0bf54723-eecb-4f8b-8b07-b55dabe55a48}" done="1">
    <x18tc:text xml:space="preserve">Mark attendance properly</x18tc:text>
  </x18tc:threadedComment>
  <x18tc:threadedComment ref="AF157" dT="2026-01-24T12:57:52.00" personId="{c141cf70-29a0-4af6-8ba7-9d82f4aa55b0}" id="{0f2379a2-a410-491b-88ac-ed0f93d3b2ce}" parentId="{0bf54723-eecb-4f8b-8b07-b55dabe55a48}">
    <x18tc:text xml:space="preserve">They started to came in abhyasika from 2nd November</x18tc:text>
  </x18tc:threadedComment>
  <x18tc:threadedComment ref="H103" dT="2025-12-30T13:33:41.00" personId="{0d262677-46d1-457c-b12f-97cd079f25b9}" id="{6c1499e9-62c9-4dce-a126-9aff2c0aff8f}" done="1">
    <x18tc:text xml:space="preserve">mark attendance properly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topLeftCell="J1" activePane="topRight" state="frozen"/>
      <selection activeCell="K2" sqref="K2" pane="topRight"/>
    </sheetView>
  </sheetViews>
  <sheetFormatPr customHeight="1" defaultColWidth="12.63" defaultRowHeight="15.75"/>
  <cols>
    <col customWidth="1" min="1" max="1" width="5.5"/>
    <col customWidth="1" min="2" max="2" width="11.13"/>
    <col customWidth="1" min="3" max="3" width="26.63"/>
    <col customWidth="1" min="4" max="4" width="6.38"/>
    <col customWidth="1" min="5" max="5" width="8.5"/>
    <col customWidth="1" min="6" max="6" width="11.38"/>
    <col customWidth="1" min="7" max="7" width="17.63"/>
    <col customWidth="1" min="8" max="8" width="13.75"/>
    <col customWidth="1" min="9" max="9" width="9.13"/>
    <col customWidth="1" min="10" max="26" width="9.38"/>
  </cols>
  <sheetData>
    <row r="1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  <c r="P1" s="3" t="s">
        <v>0</v>
      </c>
      <c r="Q1" s="4"/>
      <c r="R1" s="4"/>
      <c r="S1" s="4"/>
      <c r="T1" s="4"/>
      <c r="U1" s="4"/>
      <c r="V1" s="4"/>
      <c r="W1" s="4"/>
      <c r="X1" s="4"/>
      <c r="Y1" s="4"/>
      <c r="Z1" s="5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2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2"/>
      <c r="J3" s="8" t="s">
        <v>1</v>
      </c>
      <c r="K3" s="4"/>
      <c r="L3" s="4"/>
      <c r="M3" s="4"/>
      <c r="N3" s="4"/>
      <c r="O3" s="5"/>
      <c r="P3" s="7">
        <f t="shared" ref="P3:Z3" si="1">AVERAGEIF(P5:P999,"&gt;0")</f>
        <v>0.7857142857</v>
      </c>
      <c r="Q3" s="7">
        <f t="shared" si="1"/>
        <v>0.793974359</v>
      </c>
      <c r="R3" s="7">
        <f t="shared" si="1"/>
        <v>0.783625731</v>
      </c>
      <c r="S3" s="7">
        <f t="shared" si="1"/>
        <v>0.7895622896</v>
      </c>
      <c r="T3" s="7">
        <f t="shared" si="1"/>
        <v>0.7769230769</v>
      </c>
      <c r="U3" s="7">
        <f t="shared" si="1"/>
        <v>0.7614814815</v>
      </c>
      <c r="V3" s="7">
        <f t="shared" si="1"/>
        <v>0.7874691358</v>
      </c>
      <c r="W3" s="7">
        <f t="shared" si="1"/>
        <v>0.8014814815</v>
      </c>
      <c r="X3" s="7">
        <f t="shared" si="1"/>
        <v>0.7142857143</v>
      </c>
      <c r="Y3" s="7">
        <f t="shared" si="1"/>
        <v>0.7068965517</v>
      </c>
      <c r="Z3" s="7">
        <f t="shared" si="1"/>
        <v>0.72</v>
      </c>
      <c r="AA3" s="1"/>
      <c r="AB3" s="1"/>
      <c r="AC3" s="1"/>
      <c r="AD3" s="1"/>
      <c r="AE3" s="1"/>
      <c r="AF3" s="1"/>
      <c r="AG3" s="1"/>
      <c r="AH3" s="1"/>
    </row>
    <row r="4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11" t="s">
        <v>15</v>
      </c>
      <c r="O4" s="11" t="s">
        <v>16</v>
      </c>
      <c r="P4" s="12">
        <f>Attendance_data!B4</f>
        <v>45809</v>
      </c>
      <c r="Q4" s="12">
        <f>Attendance_data!B34</f>
        <v>45839</v>
      </c>
      <c r="R4" s="12">
        <f>Attendance_data!B65</f>
        <v>45870</v>
      </c>
      <c r="S4" s="12">
        <f>Attendance_data!B96</f>
        <v>45901</v>
      </c>
      <c r="T4" s="12">
        <f>Attendance_data!B126</f>
        <v>45931</v>
      </c>
      <c r="U4" s="12">
        <f>Attendance_data!B157</f>
        <v>45962</v>
      </c>
      <c r="V4" s="12">
        <f>Attendance_data!B187</f>
        <v>45992</v>
      </c>
      <c r="W4" s="12">
        <f>Attendance_data!B240</f>
        <v>46023</v>
      </c>
      <c r="X4" s="12">
        <f>Attendance_data!B250</f>
        <v>46054</v>
      </c>
      <c r="Y4" s="12">
        <f>Attendance_data!B292</f>
        <v>46082</v>
      </c>
      <c r="Z4" s="12">
        <f>Attendance_data!B324</f>
        <v>46113</v>
      </c>
      <c r="AA4" s="1"/>
      <c r="AB4" s="13" t="s">
        <v>17</v>
      </c>
      <c r="AC4" s="1"/>
      <c r="AD4" s="1"/>
      <c r="AE4" s="1"/>
      <c r="AF4" s="1"/>
      <c r="AG4" s="1"/>
      <c r="AH4" s="1"/>
    </row>
    <row r="5">
      <c r="A5" s="14">
        <f t="shared" ref="A5:A74" si="2">ROW()-4</f>
        <v>1</v>
      </c>
      <c r="B5" s="15" t="s">
        <v>18</v>
      </c>
      <c r="C5" s="15" t="s">
        <v>19</v>
      </c>
      <c r="D5" s="15" t="s">
        <v>20</v>
      </c>
      <c r="E5" s="15" t="s">
        <v>21</v>
      </c>
      <c r="F5" s="15">
        <v>8.108416756E9</v>
      </c>
      <c r="G5" s="15" t="s">
        <v>22</v>
      </c>
      <c r="H5" s="15">
        <v>2018.0</v>
      </c>
      <c r="I5" s="16" t="s">
        <v>23</v>
      </c>
      <c r="J5" s="17">
        <v>25.0</v>
      </c>
      <c r="K5" s="17">
        <v>23.0</v>
      </c>
      <c r="L5" s="17">
        <v>25.0</v>
      </c>
      <c r="M5" s="17">
        <v>26.0</v>
      </c>
      <c r="N5" s="17">
        <v>30.0</v>
      </c>
      <c r="O5" s="17">
        <v>24.0</v>
      </c>
      <c r="P5" s="18">
        <f t="array" ref="P5">IFERROR(
  COUNTIFS(Attendance_data!$B$4:$B$1000,P$4,
    INDIRECT("Attendance_data!" &amp; ADDRESS(4, MATCH($B5, Attendance_data!$E$3:$BI$3, 0) + 4) &amp; ":" &amp;
             ADDRESS(1000, MATCH($B5, Attendance_data!$E$3:$BI$3, 0) + 4)),
    "P"
  )
  /
  (
    COUNTIFS(
      Attendance_data!$B$4:$B$1000,P$4,
      INDIRECT("Attendance_data!" &amp; ADDRESS(4, MATCH($B5, Attendance_data!$E$3:$BI$3, 0) + 4) &amp; ":" &amp;
               ADDRESS(1000, MATCH($B5, Attendance_data!$E$3:$BI$3, 0) + 4)),
      "P"
    )
    +
    COUNTIFS(
      Attendance_data!$B$4:$B$1000,P$4,
      INDIRECT("Attendance_data!" &amp; ADDRESS(4, MATCH($B5, Attendance_data!$E$3:$BI$3, 0) + 4) &amp; ":" &amp;
               ADDRESS(1000, MATCH($B5, Attendance_data!$E$3:$BI$3, 0) + 4)),
      "A"
    )
  ),"")</f>
        <v>0.09523809524</v>
      </c>
      <c r="Q5" s="18">
        <f t="array" ref="Q5">IFERROR(
  COUNTIFS(Attendance_data!$B$4:$B$1000,Q$4,
    INDIRECT("Attendance_data!" &amp; ADDRESS(4, MATCH($B5, Attendance_data!$E$3:$BI$3, 0) + 4) &amp; ":" &amp;
             ADDRESS(1000, MATCH($B5, Attendance_data!$E$3:$BI$3, 0) + 4)),
    "P"
  )
  /
  (
    COUNTIFS(
      Attendance_data!$B$4:$B$1000,Q$4,
      INDIRECT("Attendance_data!" &amp; ADDRESS(4, MATCH($B5, Attendance_data!$E$3:$BI$3, 0) + 4) &amp; ":" &amp;
               ADDRESS(1000, MATCH($B5, Attendance_data!$E$3:$BI$3, 0) + 4)),
      "P"
    )
    +
    COUNTIFS(
      Attendance_data!$B$4:$B$1000,Q$4,
      INDIRECT("Attendance_data!" &amp; ADDRESS(4, MATCH($B5, Attendance_data!$E$3:$BI$3, 0) + 4) &amp; ":" &amp;
               ADDRESS(1000, MATCH($B5, Attendance_data!$E$3:$BI$3, 0) + 4)),
      "A"
    )
  ),"")</f>
        <v>0.2307692308</v>
      </c>
      <c r="R5" s="18">
        <f t="array" ref="R5">IFERROR(
  COUNTIFS(Attendance_data!$B$4:$B$1000,R$4,
    INDIRECT("Attendance_data!" &amp; ADDRESS(4, MATCH($B5, Attendance_data!$E$3:$BI$3, 0) + 4) &amp; ":" &amp;
             ADDRESS(1000, MATCH($B5, Attendance_data!$E$3:$BI$3, 0) + 4)),
    "P"
  )
  /
  (
    COUNTIFS(
      Attendance_data!$B$4:$B$1000,R$4,
      INDIRECT("Attendance_data!" &amp; ADDRESS(4, MATCH($B5, Attendance_data!$E$3:$BI$3, 0) + 4) &amp; ":" &amp;
               ADDRESS(1000, MATCH($B5, Attendance_data!$E$3:$BI$3, 0) + 4)),
      "P"
    )
    +
    COUNTIFS(
      Attendance_data!$B$4:$B$1000,R$4,
      INDIRECT("Attendance_data!" &amp; ADDRESS(4, MATCH($B5, Attendance_data!$E$3:$BI$3, 0) + 4) &amp; ":" &amp;
               ADDRESS(1000, MATCH($B5, Attendance_data!$E$3:$BI$3, 0) + 4)),
      "A"
    )
  ),"")</f>
        <v>0.2631578947</v>
      </c>
      <c r="S5" s="18">
        <f t="array" ref="S5">IFERROR(
  COUNTIFS(Attendance_data!$B$4:$B$1000,S$4,
    INDIRECT("Attendance_data!" &amp; ADDRESS(4, MATCH($B5, Attendance_data!$E$3:$BI$3, 0) + 4) &amp; ":" &amp;
             ADDRESS(1000, MATCH($B5, Attendance_data!$E$3:$BI$3, 0) + 4)),
    "P"
  )
  /
  (
    COUNTIFS(
      Attendance_data!$B$4:$B$1000,S$4,
      INDIRECT("Attendance_data!" &amp; ADDRESS(4, MATCH($B5, Attendance_data!$E$3:$BI$3, 0) + 4) &amp; ":" &amp;
               ADDRESS(1000, MATCH($B5, Attendance_data!$E$3:$BI$3, 0) + 4)),
      "P"
    )
    +
    COUNTIFS(
      Attendance_data!$B$4:$B$1000,S$4,
      INDIRECT("Attendance_data!" &amp; ADDRESS(4, MATCH($B5, Attendance_data!$E$3:$BI$3, 0) + 4) &amp; ":" &amp;
               ADDRESS(1000, MATCH($B5, Attendance_data!$E$3:$BI$3, 0) + 4)),
      "A"
    )
  ),"")</f>
        <v>0.04545454545</v>
      </c>
      <c r="T5" s="18">
        <f t="array" ref="T5">IFERROR(
  COUNTIFS(Attendance_data!$B$4:$B$1000,T$4,
    INDIRECT("Attendance_data!" &amp; ADDRESS(4, MATCH($B5, Attendance_data!$E$3:$BI$3, 0) + 4) &amp; ":" &amp;
             ADDRESS(1000, MATCH($B5, Attendance_data!$E$3:$BI$3, 0) + 4)),
    "P"
  )
  /
  (
    COUNTIFS(
      Attendance_data!$B$4:$B$1000,T$4,
      INDIRECT("Attendance_data!" &amp; ADDRESS(4, MATCH($B5, Attendance_data!$E$3:$BI$3, 0) + 4) &amp; ":" &amp;
               ADDRESS(1000, MATCH($B5, Attendance_data!$E$3:$BI$3, 0) + 4)),
      "P"
    )
    +
    COUNTIFS(
      Attendance_data!$B$4:$B$1000,T$4,
      INDIRECT("Attendance_data!" &amp; ADDRESS(4, MATCH($B5, Attendance_data!$E$3:$BI$3, 0) + 4) &amp; ":" &amp;
               ADDRESS(1000, MATCH($B5, Attendance_data!$E$3:$BI$3, 0) + 4)),
      "A"
    )
  ),"")</f>
        <v>0.1</v>
      </c>
      <c r="U5" s="18">
        <f t="array" ref="U5">IFERROR(
  COUNTIFS(Attendance_data!$B$4:$B$1000,U$4,
    INDIRECT("Attendance_data!" &amp; ADDRESS(4, MATCH($B5, Attendance_data!$E$3:$BI$3, 0) + 4) &amp; ":" &amp;
             ADDRESS(1000, MATCH($B5, Attendance_data!$E$3:$BI$3, 0) + 4)),
    "P"
  )
  /
  (
    COUNTIFS(
      Attendance_data!$B$4:$B$1000,U$4,
      INDIRECT("Attendance_data!" &amp; ADDRESS(4, MATCH($B5, Attendance_data!$E$3:$BI$3, 0) + 4) &amp; ":" &amp;
               ADDRESS(1000, MATCH($B5, Attendance_data!$E$3:$BI$3, 0) + 4)),
      "P"
    )
    +
    COUNTIFS(
      Attendance_data!$B$4:$B$1000,U$4,
      INDIRECT("Attendance_data!" &amp; ADDRESS(4, MATCH($B5, Attendance_data!$E$3:$BI$3, 0) + 4) &amp; ":" &amp;
               ADDRESS(1000, MATCH($B5, Attendance_data!$E$3:$BI$3, 0) + 4)),
      "A"
    )
  ),"")</f>
        <v>0.2</v>
      </c>
      <c r="V5" s="18">
        <f t="array" ref="V5">IFERROR(
  COUNTIFS(Attendance_data!$B$4:$B$1000,V$4,
    INDIRECT("Attendance_data!" &amp; ADDRESS(4, MATCH($B5, Attendance_data!$E$3:$BI$3, 0) + 4) &amp; ":" &amp;
             ADDRESS(1000, MATCH($B5, Attendance_data!$E$3:$BI$3, 0) + 4)),
    "P"
  )
  /
  (
    COUNTIFS(
      Attendance_data!$B$4:$B$1000,V$4,
      INDIRECT("Attendance_data!" &amp; ADDRESS(4, MATCH($B5, Attendance_data!$E$3:$BI$3, 0) + 4) &amp; ":" &amp;
               ADDRESS(1000, MATCH($B5, Attendance_data!$E$3:$BI$3, 0) + 4)),
      "P"
    )
    +
    COUNTIFS(
      Attendance_data!$B$4:$B$1000,V$4,
      INDIRECT("Attendance_data!" &amp; ADDRESS(4, MATCH($B5, Attendance_data!$E$3:$BI$3, 0) + 4) &amp; ":" &amp;
               ADDRESS(1000, MATCH($B5, Attendance_data!$E$3:$BI$3, 0) + 4)),
      "A"
    )
  ),"")</f>
        <v>0.4</v>
      </c>
      <c r="W5" s="18">
        <f t="array" ref="W5">IFERROR(
  COUNTIFS(Attendance_data!$B$4:$B$1000,W$4,
    INDIRECT("Attendance_data!" &amp; ADDRESS(4, MATCH($B5, Attendance_data!$E$3:$BI$3, 0) + 4) &amp; ":" &amp;
             ADDRESS(1000, MATCH($B5, Attendance_data!$E$3:$BI$3, 0) + 4)),
    "P"
  )
  /
  (
    COUNTIFS(
      Attendance_data!$B$4:$B$1000,W$4,
      INDIRECT("Attendance_data!" &amp; ADDRESS(4, MATCH($B5, Attendance_data!$E$3:$BI$3, 0) + 4) &amp; ":" &amp;
               ADDRESS(1000, MATCH($B5, Attendance_data!$E$3:$BI$3, 0) + 4)),
      "P"
    )
    +
    COUNTIFS(
      Attendance_data!$B$4:$B$1000,W$4,
      INDIRECT("Attendance_data!" &amp; ADDRESS(4, MATCH($B5, Attendance_data!$E$3:$BI$3, 0) + 4) &amp; ":" &amp;
               ADDRESS(1000, MATCH($B5, Attendance_data!$E$3:$BI$3, 0) + 4)),
      "A"
    )
  ),"")</f>
        <v>0.56</v>
      </c>
      <c r="X5" s="18">
        <f t="array" ref="X5">IFERROR(
  COUNTIFS(Attendance_data!$B$4:$B$1000,X$4,
    INDIRECT("Attendance_data!" &amp; ADDRESS(4, MATCH($B5, Attendance_data!$E$3:$BI$3, 0) + 4) &amp; ":" &amp;
             ADDRESS(1000, MATCH($B5, Attendance_data!$E$3:$BI$3, 0) + 4)),
    "P"
  )
  /
  (
    COUNTIFS(
      Attendance_data!$B$4:$B$1000,X$4,
      INDIRECT("Attendance_data!" &amp; ADDRESS(4, MATCH($B5, Attendance_data!$E$3:$BI$3, 0) + 4) &amp; ":" &amp;
               ADDRESS(1000, MATCH($B5, Attendance_data!$E$3:$BI$3, 0) + 4)),
      "P"
    )
    +
    COUNTIFS(
      Attendance_data!$B$4:$B$1000,X$4,
      INDIRECT("Attendance_data!" &amp; ADDRESS(4, MATCH($B5, Attendance_data!$E$3:$BI$3, 0) + 4) &amp; ":" &amp;
               ADDRESS(1000, MATCH($B5, Attendance_data!$E$3:$BI$3, 0) + 4)),
      "A"
    )
  ),"")</f>
        <v>0.3333333333</v>
      </c>
      <c r="Y5" s="18">
        <f t="array" ref="Y5">IFERROR(
  COUNTIFS(Attendance_data!$B$4:$B$1000,Y$4,
    INDIRECT("Attendance_data!" &amp; ADDRESS(4, MATCH($B5, Attendance_data!$E$3:$BI$3, 0) + 4) &amp; ":" &amp;
             ADDRESS(1000, MATCH($B5, Attendance_data!$E$3:$BI$3, 0) + 4)),
    "P"
  )
  /
  (
    COUNTIFS(
      Attendance_data!$B$4:$B$1000,Y$4,
      INDIRECT("Attendance_data!" &amp; ADDRESS(4, MATCH($B5, Attendance_data!$E$3:$BI$3, 0) + 4) &amp; ":" &amp;
               ADDRESS(1000, MATCH($B5, Attendance_data!$E$3:$BI$3, 0) + 4)),
      "P"
    )
    +
    COUNTIFS(
      Attendance_data!$B$4:$B$1000,Y$4,
      INDIRECT("Attendance_data!" &amp; ADDRESS(4, MATCH($B5, Attendance_data!$E$3:$BI$3, 0) + 4) &amp; ":" &amp;
               ADDRESS(1000, MATCH($B5, Attendance_data!$E$3:$BI$3, 0) + 4)),
      "A"
    )
  ),"")</f>
        <v>0.4583333333</v>
      </c>
      <c r="Z5" s="18">
        <f t="array" ref="Z5">IFERROR(
  COUNTIFS(Attendance_data!$B$4:$B$1000,Z$4,
    INDIRECT("Attendance_data!" &amp; ADDRESS(4, MATCH($B5, Attendance_data!$E$3:$BI$3, 0) + 4) &amp; ":" &amp;
             ADDRESS(1000, MATCH($B5, Attendance_data!$E$3:$BI$3, 0) + 4)),
    "P"
  )
  /
  (
    COUNTIFS(
      Attendance_data!$B$4:$B$1000,Z$4,
      INDIRECT("Attendance_data!" &amp; ADDRESS(4, MATCH($B5, Attendance_data!$E$3:$BI$3, 0) + 4) &amp; ":" &amp;
               ADDRESS(1000, MATCH($B5, Attendance_data!$E$3:$BI$3, 0) + 4)),
      "P"
    )
    +
    COUNTIFS(
      Attendance_data!$B$4:$B$1000,Z$4,
      INDIRECT("Attendance_data!" &amp; ADDRESS(4, MATCH($B5, Attendance_data!$E$3:$BI$3, 0) + 4) &amp; ":" &amp;
               ADDRESS(1000, MATCH($B5, Attendance_data!$E$3:$BI$3, 0) + 4)),
      "A"
    )
  ),"")</f>
        <v>0.4444444444</v>
      </c>
      <c r="AA5" s="18" t="str">
        <f t="array" ref="AA5">IFERROR(
  COUNTIFS(Attendance_data!$B$4:$B$1000,AA$4,
    INDIRECT("Attendance_data!" &amp; ADDRESS(4, MATCH($B5, Attendance_data!$E$3:$BI$3, 0) + 4) &amp; ":" &amp;
             ADDRESS(1000, MATCH($B5, Attendance_data!$E$3:$BI$3, 0) + 4)),
    "P"
  )
  /
  (
    COUNTIFS(
      Attendance_data!$B$4:$B$1000,AA$4,
      INDIRECT("Attendance_data!" &amp; ADDRESS(4, MATCH($B5, Attendance_data!$E$3:$BI$3, 0) + 4) &amp; ":" &amp;
               ADDRESS(1000, MATCH($B5, Attendance_data!$E$3:$BI$3, 0) + 4)),
      "P"
    )
    +
    COUNTIFS(
      Attendance_data!$B$4:$B$1000,AA$4,
      INDIRECT("Attendance_data!" &amp; ADDRESS(4, MATCH($B5, Attendance_data!$E$3:$BI$3, 0) + 4) &amp; ":" &amp;
               ADDRESS(1000, MATCH($B5, Attendance_data!$E$3:$BI$3, 0) + 4)),
      "A"
    )
  ),"")</f>
        <v/>
      </c>
      <c r="AB5" s="19">
        <f t="shared" ref="AB5:AB44" si="3">AVERAGEIF(P5:Z5,"&gt;0")</f>
        <v>0.2846118979</v>
      </c>
      <c r="AC5" s="1"/>
      <c r="AD5" s="1"/>
      <c r="AE5" s="1"/>
      <c r="AF5" s="1"/>
      <c r="AG5" s="1"/>
      <c r="AH5" s="1"/>
    </row>
    <row r="6">
      <c r="A6" s="14">
        <f t="shared" si="2"/>
        <v>2</v>
      </c>
      <c r="B6" s="15" t="s">
        <v>24</v>
      </c>
      <c r="C6" s="15" t="s">
        <v>25</v>
      </c>
      <c r="D6" s="15" t="s">
        <v>26</v>
      </c>
      <c r="E6" s="15" t="s">
        <v>21</v>
      </c>
      <c r="F6" s="15">
        <v>9.653608041E9</v>
      </c>
      <c r="G6" s="15" t="s">
        <v>27</v>
      </c>
      <c r="H6" s="15">
        <v>2019.0</v>
      </c>
      <c r="I6" s="16" t="s">
        <v>23</v>
      </c>
      <c r="J6" s="17">
        <v>25.0</v>
      </c>
      <c r="K6" s="17">
        <v>21.0</v>
      </c>
      <c r="L6" s="17">
        <v>22.0</v>
      </c>
      <c r="M6" s="17">
        <v>25.0</v>
      </c>
      <c r="N6" s="17">
        <v>24.0</v>
      </c>
      <c r="O6" s="17">
        <v>18.0</v>
      </c>
      <c r="P6" s="18">
        <f t="array" ref="P6">IFERROR(
  COUNTIFS(Attendance_data!$B$4:$B$1000,P$4,
    INDIRECT("Attendance_data!" &amp; ADDRESS(4, MATCH($B6, Attendance_data!$E$3:$BI$3, 0) + 4) &amp; ":" &amp;
             ADDRESS(1000, MATCH($B6, Attendance_data!$E$3:$BI$3, 0) + 4)),
    "P"
  )
  /
  (
    COUNTIFS(
      Attendance_data!$B$4:$B$1000,P$4,
      INDIRECT("Attendance_data!" &amp; ADDRESS(4, MATCH($B6, Attendance_data!$E$3:$BI$3, 0) + 4) &amp; ":" &amp;
               ADDRESS(1000, MATCH($B6, Attendance_data!$E$3:$BI$3, 0) + 4)),
      "P"
    )
    +
    COUNTIFS(
      Attendance_data!$B$4:$B$1000,P$4,
      INDIRECT("Attendance_data!" &amp; ADDRESS(4, MATCH($B6, Attendance_data!$E$3:$BI$3, 0) + 4) &amp; ":" &amp;
               ADDRESS(1000, MATCH($B6, Attendance_data!$E$3:$BI$3, 0) + 4)),
      "A"
    )
  ),"")</f>
        <v>0.7619047619</v>
      </c>
      <c r="Q6" s="18">
        <f t="array" ref="Q6">IFERROR(
  COUNTIFS(Attendance_data!$B$4:$B$1000,Q$4,
    INDIRECT("Attendance_data!" &amp; ADDRESS(4, MATCH($B6, Attendance_data!$E$3:$BI$3, 0) + 4) &amp; ":" &amp;
             ADDRESS(1000, MATCH($B6, Attendance_data!$E$3:$BI$3, 0) + 4)),
    "P"
  )
  /
  (
    COUNTIFS(
      Attendance_data!$B$4:$B$1000,Q$4,
      INDIRECT("Attendance_data!" &amp; ADDRESS(4, MATCH($B6, Attendance_data!$E$3:$BI$3, 0) + 4) &amp; ":" &amp;
               ADDRESS(1000, MATCH($B6, Attendance_data!$E$3:$BI$3, 0) + 4)),
      "P"
    )
    +
    COUNTIFS(
      Attendance_data!$B$4:$B$1000,Q$4,
      INDIRECT("Attendance_data!" &amp; ADDRESS(4, MATCH($B6, Attendance_data!$E$3:$BI$3, 0) + 4) &amp; ":" &amp;
               ADDRESS(1000, MATCH($B6, Attendance_data!$E$3:$BI$3, 0) + 4)),
      "A"
    )
  ),"")</f>
        <v>0.8461538462</v>
      </c>
      <c r="R6" s="18">
        <f t="array" ref="R6">IFERROR(
  COUNTIFS(Attendance_data!$B$4:$B$1000,R$4,
    INDIRECT("Attendance_data!" &amp; ADDRESS(4, MATCH($B6, Attendance_data!$E$3:$BI$3, 0) + 4) &amp; ":" &amp;
             ADDRESS(1000, MATCH($B6, Attendance_data!$E$3:$BI$3, 0) + 4)),
    "P"
  )
  /
  (
    COUNTIFS(
      Attendance_data!$B$4:$B$1000,R$4,
      INDIRECT("Attendance_data!" &amp; ADDRESS(4, MATCH($B6, Attendance_data!$E$3:$BI$3, 0) + 4) &amp; ":" &amp;
               ADDRESS(1000, MATCH($B6, Attendance_data!$E$3:$BI$3, 0) + 4)),
      "P"
    )
    +
    COUNTIFS(
      Attendance_data!$B$4:$B$1000,R$4,
      INDIRECT("Attendance_data!" &amp; ADDRESS(4, MATCH($B6, Attendance_data!$E$3:$BI$3, 0) + 4) &amp; ":" &amp;
               ADDRESS(1000, MATCH($B6, Attendance_data!$E$3:$BI$3, 0) + 4)),
      "A"
    )
  ),"")</f>
        <v>0.9473684211</v>
      </c>
      <c r="S6" s="18">
        <f t="array" ref="S6">IFERROR(
  COUNTIFS(Attendance_data!$B$4:$B$1000,S$4,
    INDIRECT("Attendance_data!" &amp; ADDRESS(4, MATCH($B6, Attendance_data!$E$3:$BI$3, 0) + 4) &amp; ":" &amp;
             ADDRESS(1000, MATCH($B6, Attendance_data!$E$3:$BI$3, 0) + 4)),
    "P"
  )
  /
  (
    COUNTIFS(
      Attendance_data!$B$4:$B$1000,S$4,
      INDIRECT("Attendance_data!" &amp; ADDRESS(4, MATCH($B6, Attendance_data!$E$3:$BI$3, 0) + 4) &amp; ":" &amp;
               ADDRESS(1000, MATCH($B6, Attendance_data!$E$3:$BI$3, 0) + 4)),
      "P"
    )
    +
    COUNTIFS(
      Attendance_data!$B$4:$B$1000,S$4,
      INDIRECT("Attendance_data!" &amp; ADDRESS(4, MATCH($B6, Attendance_data!$E$3:$BI$3, 0) + 4) &amp; ":" &amp;
               ADDRESS(1000, MATCH($B6, Attendance_data!$E$3:$BI$3, 0) + 4)),
      "A"
    )
  ),"")</f>
        <v>0.9545454545</v>
      </c>
      <c r="T6" s="18">
        <f t="array" ref="T6">IFERROR(
  COUNTIFS(Attendance_data!$B$4:$B$1000,T$4,
    INDIRECT("Attendance_data!" &amp; ADDRESS(4, MATCH($B6, Attendance_data!$E$3:$BI$3, 0) + 4) &amp; ":" &amp;
             ADDRESS(1000, MATCH($B6, Attendance_data!$E$3:$BI$3, 0) + 4)),
    "P"
  )
  /
  (
    COUNTIFS(
      Attendance_data!$B$4:$B$1000,T$4,
      INDIRECT("Attendance_data!" &amp; ADDRESS(4, MATCH($B6, Attendance_data!$E$3:$BI$3, 0) + 4) &amp; ":" &amp;
               ADDRESS(1000, MATCH($B6, Attendance_data!$E$3:$BI$3, 0) + 4)),
      "P"
    )
    +
    COUNTIFS(
      Attendance_data!$B$4:$B$1000,T$4,
      INDIRECT("Attendance_data!" &amp; ADDRESS(4, MATCH($B6, Attendance_data!$E$3:$BI$3, 0) + 4) &amp; ":" &amp;
               ADDRESS(1000, MATCH($B6, Attendance_data!$E$3:$BI$3, 0) + 4)),
      "A"
    )
  ),"")</f>
        <v>0.7</v>
      </c>
      <c r="U6" s="18">
        <f t="array" ref="U6">IFERROR(
  COUNTIFS(Attendance_data!$B$4:$B$1000,U$4,
    INDIRECT("Attendance_data!" &amp; ADDRESS(4, MATCH($B6, Attendance_data!$E$3:$BI$3, 0) + 4) &amp; ":" &amp;
             ADDRESS(1000, MATCH($B6, Attendance_data!$E$3:$BI$3, 0) + 4)),
    "P"
  )
  /
  (
    COUNTIFS(
      Attendance_data!$B$4:$B$1000,U$4,
      INDIRECT("Attendance_data!" &amp; ADDRESS(4, MATCH($B6, Attendance_data!$E$3:$BI$3, 0) + 4) &amp; ":" &amp;
               ADDRESS(1000, MATCH($B6, Attendance_data!$E$3:$BI$3, 0) + 4)),
      "P"
    )
    +
    COUNTIFS(
      Attendance_data!$B$4:$B$1000,U$4,
      INDIRECT("Attendance_data!" &amp; ADDRESS(4, MATCH($B6, Attendance_data!$E$3:$BI$3, 0) + 4) &amp; ":" &amp;
               ADDRESS(1000, MATCH($B6, Attendance_data!$E$3:$BI$3, 0) + 4)),
      "A"
    )
  ),"")</f>
        <v>0.84</v>
      </c>
      <c r="V6" s="18">
        <f t="array" ref="V6">IFERROR(
  COUNTIFS(Attendance_data!$B$4:$B$1000,V$4,
    INDIRECT("Attendance_data!" &amp; ADDRESS(4, MATCH($B6, Attendance_data!$E$3:$BI$3, 0) + 4) &amp; ":" &amp;
             ADDRESS(1000, MATCH($B6, Attendance_data!$E$3:$BI$3, 0) + 4)),
    "P"
  )
  /
  (
    COUNTIFS(
      Attendance_data!$B$4:$B$1000,V$4,
      INDIRECT("Attendance_data!" &amp; ADDRESS(4, MATCH($B6, Attendance_data!$E$3:$BI$3, 0) + 4) &amp; ":" &amp;
               ADDRESS(1000, MATCH($B6, Attendance_data!$E$3:$BI$3, 0) + 4)),
      "P"
    )
    +
    COUNTIFS(
      Attendance_data!$B$4:$B$1000,V$4,
      INDIRECT("Attendance_data!" &amp; ADDRESS(4, MATCH($B6, Attendance_data!$E$3:$BI$3, 0) + 4) &amp; ":" &amp;
               ADDRESS(1000, MATCH($B6, Attendance_data!$E$3:$BI$3, 0) + 4)),
      "A"
    )
  ),"")</f>
        <v>0.92</v>
      </c>
      <c r="W6" s="18">
        <f t="array" ref="W6">IFERROR(
  COUNTIFS(Attendance_data!$B$4:$B$1000,W$4,
    INDIRECT("Attendance_data!" &amp; ADDRESS(4, MATCH($B6, Attendance_data!$E$3:$BI$3, 0) + 4) &amp; ":" &amp;
             ADDRESS(1000, MATCH($B6, Attendance_data!$E$3:$BI$3, 0) + 4)),
    "P"
  )
  /
  (
    COUNTIFS(
      Attendance_data!$B$4:$B$1000,W$4,
      INDIRECT("Attendance_data!" &amp; ADDRESS(4, MATCH($B6, Attendance_data!$E$3:$BI$3, 0) + 4) &amp; ":" &amp;
               ADDRESS(1000, MATCH($B6, Attendance_data!$E$3:$BI$3, 0) + 4)),
      "P"
    )
    +
    COUNTIFS(
      Attendance_data!$B$4:$B$1000,W$4,
      INDIRECT("Attendance_data!" &amp; ADDRESS(4, MATCH($B6, Attendance_data!$E$3:$BI$3, 0) + 4) &amp; ":" &amp;
               ADDRESS(1000, MATCH($B6, Attendance_data!$E$3:$BI$3, 0) + 4)),
      "A"
    )
  ),"")</f>
        <v>0.96</v>
      </c>
      <c r="X6" s="18">
        <f t="array" ref="X6">IFERROR(
  COUNTIFS(Attendance_data!$B$4:$B$1000,X$4,
    INDIRECT("Attendance_data!" &amp; ADDRESS(4, MATCH($B6, Attendance_data!$E$3:$BI$3, 0) + 4) &amp; ":" &amp;
             ADDRESS(1000, MATCH($B6, Attendance_data!$E$3:$BI$3, 0) + 4)),
    "P"
  )
  /
  (
    COUNTIFS(
      Attendance_data!$B$4:$B$1000,X$4,
      INDIRECT("Attendance_data!" &amp; ADDRESS(4, MATCH($B6, Attendance_data!$E$3:$BI$3, 0) + 4) &amp; ":" &amp;
               ADDRESS(1000, MATCH($B6, Attendance_data!$E$3:$BI$3, 0) + 4)),
      "P"
    )
    +
    COUNTIFS(
      Attendance_data!$B$4:$B$1000,X$4,
      INDIRECT("Attendance_data!" &amp; ADDRESS(4, MATCH($B6, Attendance_data!$E$3:$BI$3, 0) + 4) &amp; ":" &amp;
               ADDRESS(1000, MATCH($B6, Attendance_data!$E$3:$BI$3, 0) + 4)),
      "A"
    )
  ),"")</f>
        <v>0.6666666667</v>
      </c>
      <c r="Y6" s="18">
        <f t="array" ref="Y6">IFERROR(
  COUNTIFS(Attendance_data!$B$4:$B$1000,Y$4,
    INDIRECT("Attendance_data!" &amp; ADDRESS(4, MATCH($B6, Attendance_data!$E$3:$BI$3, 0) + 4) &amp; ":" &amp;
             ADDRESS(1000, MATCH($B6, Attendance_data!$E$3:$BI$3, 0) + 4)),
    "P"
  )
  /
  (
    COUNTIFS(
      Attendance_data!$B$4:$B$1000,Y$4,
      INDIRECT("Attendance_data!" &amp; ADDRESS(4, MATCH($B6, Attendance_data!$E$3:$BI$3, 0) + 4) &amp; ":" &amp;
               ADDRESS(1000, MATCH($B6, Attendance_data!$E$3:$BI$3, 0) + 4)),
      "P"
    )
    +
    COUNTIFS(
      Attendance_data!$B$4:$B$1000,Y$4,
      INDIRECT("Attendance_data!" &amp; ADDRESS(4, MATCH($B6, Attendance_data!$E$3:$BI$3, 0) + 4) &amp; ":" &amp;
               ADDRESS(1000, MATCH($B6, Attendance_data!$E$3:$BI$3, 0) + 4)),
      "A"
    )
  ),"")</f>
        <v>0.9166666667</v>
      </c>
      <c r="Z6" s="18">
        <f t="array" ref="Z6">IFERROR(
  COUNTIFS(Attendance_data!$B$4:$B$1000,Z$4,
    INDIRECT("Attendance_data!" &amp; ADDRESS(4, MATCH($B6, Attendance_data!$E$3:$BI$3, 0) + 4) &amp; ":" &amp;
             ADDRESS(1000, MATCH($B6, Attendance_data!$E$3:$BI$3, 0) + 4)),
    "P"
  )
  /
  (
    COUNTIFS(
      Attendance_data!$B$4:$B$1000,Z$4,
      INDIRECT("Attendance_data!" &amp; ADDRESS(4, MATCH($B6, Attendance_data!$E$3:$BI$3, 0) + 4) &amp; ":" &amp;
               ADDRESS(1000, MATCH($B6, Attendance_data!$E$3:$BI$3, 0) + 4)),
      "P"
    )
    +
    COUNTIFS(
      Attendance_data!$B$4:$B$1000,Z$4,
      INDIRECT("Attendance_data!" &amp; ADDRESS(4, MATCH($B6, Attendance_data!$E$3:$BI$3, 0) + 4) &amp; ":" &amp;
               ADDRESS(1000, MATCH($B6, Attendance_data!$E$3:$BI$3, 0) + 4)),
      "A"
    )
  ),"")</f>
        <v>1</v>
      </c>
      <c r="AA6" s="18" t="str">
        <f t="array" ref="AA6">IFERROR(
  COUNTIFS(Attendance_data!$B$4:$B$1000,AA$4,
    INDIRECT("Attendance_data!" &amp; ADDRESS(4, MATCH($B6, Attendance_data!$E$3:$BI$3, 0) + 4) &amp; ":" &amp;
             ADDRESS(1000, MATCH($B6, Attendance_data!$E$3:$BI$3, 0) + 4)),
    "P"
  )
  /
  (
    COUNTIFS(
      Attendance_data!$B$4:$B$1000,AA$4,
      INDIRECT("Attendance_data!" &amp; ADDRESS(4, MATCH($B6, Attendance_data!$E$3:$BI$3, 0) + 4) &amp; ":" &amp;
               ADDRESS(1000, MATCH($B6, Attendance_data!$E$3:$BI$3, 0) + 4)),
      "P"
    )
    +
    COUNTIFS(
      Attendance_data!$B$4:$B$1000,AA$4,
      INDIRECT("Attendance_data!" &amp; ADDRESS(4, MATCH($B6, Attendance_data!$E$3:$BI$3, 0) + 4) &amp; ":" &amp;
               ADDRESS(1000, MATCH($B6, Attendance_data!$E$3:$BI$3, 0) + 4)),
      "A"
    )
  ),"")</f>
        <v/>
      </c>
      <c r="AB6" s="19">
        <f t="shared" si="3"/>
        <v>0.8648459834</v>
      </c>
      <c r="AC6" s="1"/>
      <c r="AD6" s="1"/>
      <c r="AE6" s="1"/>
      <c r="AF6" s="1"/>
      <c r="AG6" s="1"/>
      <c r="AH6" s="1"/>
    </row>
    <row r="7">
      <c r="A7" s="14">
        <f t="shared" si="2"/>
        <v>3</v>
      </c>
      <c r="B7" s="15" t="s">
        <v>28</v>
      </c>
      <c r="C7" s="15" t="s">
        <v>29</v>
      </c>
      <c r="D7" s="15" t="s">
        <v>30</v>
      </c>
      <c r="E7" s="15" t="s">
        <v>21</v>
      </c>
      <c r="F7" s="15">
        <v>9.324299943E9</v>
      </c>
      <c r="G7" s="15" t="s">
        <v>31</v>
      </c>
      <c r="H7" s="15">
        <v>2018.0</v>
      </c>
      <c r="I7" s="16" t="s">
        <v>23</v>
      </c>
      <c r="J7" s="17">
        <v>24.0</v>
      </c>
      <c r="K7" s="17">
        <v>19.0</v>
      </c>
      <c r="L7" s="17">
        <v>28.0</v>
      </c>
      <c r="M7" s="17">
        <v>17.0</v>
      </c>
      <c r="N7" s="17">
        <v>26.0</v>
      </c>
      <c r="O7" s="17" t="s">
        <v>32</v>
      </c>
      <c r="P7" s="18">
        <f t="array" ref="P7">IFERROR(
  COUNTIFS(Attendance_data!$B$4:$B$1000,P$4,
    INDIRECT("Attendance_data!" &amp; ADDRESS(4, MATCH($B7, Attendance_data!$E$3:$BI$3, 0) + 4) &amp; ":" &amp;
             ADDRESS(1000, MATCH($B7, Attendance_data!$E$3:$BI$3, 0) + 4)),
    "P"
  )
  /
  (
    COUNTIFS(
      Attendance_data!$B$4:$B$1000,P$4,
      INDIRECT("Attendance_data!" &amp; ADDRESS(4, MATCH($B7, Attendance_data!$E$3:$BI$3, 0) + 4) &amp; ":" &amp;
               ADDRESS(1000, MATCH($B7, Attendance_data!$E$3:$BI$3, 0) + 4)),
      "P"
    )
    +
    COUNTIFS(
      Attendance_data!$B$4:$B$1000,P$4,
      INDIRECT("Attendance_data!" &amp; ADDRESS(4, MATCH($B7, Attendance_data!$E$3:$BI$3, 0) + 4) &amp; ":" &amp;
               ADDRESS(1000, MATCH($B7, Attendance_data!$E$3:$BI$3, 0) + 4)),
      "A"
    )
  ),"")</f>
        <v>1</v>
      </c>
      <c r="Q7" s="18">
        <f t="array" ref="Q7">IFERROR(
  COUNTIFS(Attendance_data!$B$4:$B$1000,Q$4,
    INDIRECT("Attendance_data!" &amp; ADDRESS(4, MATCH($B7, Attendance_data!$E$3:$BI$3, 0) + 4) &amp; ":" &amp;
             ADDRESS(1000, MATCH($B7, Attendance_data!$E$3:$BI$3, 0) + 4)),
    "P"
  )
  /
  (
    COUNTIFS(
      Attendance_data!$B$4:$B$1000,Q$4,
      INDIRECT("Attendance_data!" &amp; ADDRESS(4, MATCH($B7, Attendance_data!$E$3:$BI$3, 0) + 4) &amp; ":" &amp;
               ADDRESS(1000, MATCH($B7, Attendance_data!$E$3:$BI$3, 0) + 4)),
      "P"
    )
    +
    COUNTIFS(
      Attendance_data!$B$4:$B$1000,Q$4,
      INDIRECT("Attendance_data!" &amp; ADDRESS(4, MATCH($B7, Attendance_data!$E$3:$BI$3, 0) + 4) &amp; ":" &amp;
               ADDRESS(1000, MATCH($B7, Attendance_data!$E$3:$BI$3, 0) + 4)),
      "A"
    )
  ),"")</f>
        <v>0.6923076923</v>
      </c>
      <c r="R7" s="18">
        <f t="array" ref="R7">IFERROR(
  COUNTIFS(Attendance_data!$B$4:$B$1000,R$4,
    INDIRECT("Attendance_data!" &amp; ADDRESS(4, MATCH($B7, Attendance_data!$E$3:$BI$3, 0) + 4) &amp; ":" &amp;
             ADDRESS(1000, MATCH($B7, Attendance_data!$E$3:$BI$3, 0) + 4)),
    "P"
  )
  /
  (
    COUNTIFS(
      Attendance_data!$B$4:$B$1000,R$4,
      INDIRECT("Attendance_data!" &amp; ADDRESS(4, MATCH($B7, Attendance_data!$E$3:$BI$3, 0) + 4) &amp; ":" &amp;
               ADDRESS(1000, MATCH($B7, Attendance_data!$E$3:$BI$3, 0) + 4)),
      "P"
    )
    +
    COUNTIFS(
      Attendance_data!$B$4:$B$1000,R$4,
      INDIRECT("Attendance_data!" &amp; ADDRESS(4, MATCH($B7, Attendance_data!$E$3:$BI$3, 0) + 4) &amp; ":" &amp;
               ADDRESS(1000, MATCH($B7, Attendance_data!$E$3:$BI$3, 0) + 4)),
      "A"
    )
  ),"")</f>
        <v>0.8947368421</v>
      </c>
      <c r="S7" s="18">
        <f t="array" ref="S7">IFERROR(
  COUNTIFS(Attendance_data!$B$4:$B$1000,S$4,
    INDIRECT("Attendance_data!" &amp; ADDRESS(4, MATCH($B7, Attendance_data!$E$3:$BI$3, 0) + 4) &amp; ":" &amp;
             ADDRESS(1000, MATCH($B7, Attendance_data!$E$3:$BI$3, 0) + 4)),
    "P"
  )
  /
  (
    COUNTIFS(
      Attendance_data!$B$4:$B$1000,S$4,
      INDIRECT("Attendance_data!" &amp; ADDRESS(4, MATCH($B7, Attendance_data!$E$3:$BI$3, 0) + 4) &amp; ":" &amp;
               ADDRESS(1000, MATCH($B7, Attendance_data!$E$3:$BI$3, 0) + 4)),
      "P"
    )
    +
    COUNTIFS(
      Attendance_data!$B$4:$B$1000,S$4,
      INDIRECT("Attendance_data!" &amp; ADDRESS(4, MATCH($B7, Attendance_data!$E$3:$BI$3, 0) + 4) &amp; ":" &amp;
               ADDRESS(1000, MATCH($B7, Attendance_data!$E$3:$BI$3, 0) + 4)),
      "A"
    )
  ),"")</f>
        <v>0.7727272727</v>
      </c>
      <c r="T7" s="18">
        <f t="array" ref="T7">IFERROR(
  COUNTIFS(Attendance_data!$B$4:$B$1000,T$4,
    INDIRECT("Attendance_data!" &amp; ADDRESS(4, MATCH($B7, Attendance_data!$E$3:$BI$3, 0) + 4) &amp; ":" &amp;
             ADDRESS(1000, MATCH($B7, Attendance_data!$E$3:$BI$3, 0) + 4)),
    "P"
  )
  /
  (
    COUNTIFS(
      Attendance_data!$B$4:$B$1000,T$4,
      INDIRECT("Attendance_data!" &amp; ADDRESS(4, MATCH($B7, Attendance_data!$E$3:$BI$3, 0) + 4) &amp; ":" &amp;
               ADDRESS(1000, MATCH($B7, Attendance_data!$E$3:$BI$3, 0) + 4)),
      "P"
    )
    +
    COUNTIFS(
      Attendance_data!$B$4:$B$1000,T$4,
      INDIRECT("Attendance_data!" &amp; ADDRESS(4, MATCH($B7, Attendance_data!$E$3:$BI$3, 0) + 4) &amp; ":" &amp;
               ADDRESS(1000, MATCH($B7, Attendance_data!$E$3:$BI$3, 0) + 4)),
      "A"
    )
  ),"")</f>
        <v>0.75</v>
      </c>
      <c r="U7" s="18">
        <f t="array" ref="U7">IFERROR(
  COUNTIFS(Attendance_data!$B$4:$B$1000,U$4,
    INDIRECT("Attendance_data!" &amp; ADDRESS(4, MATCH($B7, Attendance_data!$E$3:$BI$3, 0) + 4) &amp; ":" &amp;
             ADDRESS(1000, MATCH($B7, Attendance_data!$E$3:$BI$3, 0) + 4)),
    "P"
  )
  /
  (
    COUNTIFS(
      Attendance_data!$B$4:$B$1000,U$4,
      INDIRECT("Attendance_data!" &amp; ADDRESS(4, MATCH($B7, Attendance_data!$E$3:$BI$3, 0) + 4) &amp; ":" &amp;
               ADDRESS(1000, MATCH($B7, Attendance_data!$E$3:$BI$3, 0) + 4)),
      "P"
    )
    +
    COUNTIFS(
      Attendance_data!$B$4:$B$1000,U$4,
      INDIRECT("Attendance_data!" &amp; ADDRESS(4, MATCH($B7, Attendance_data!$E$3:$BI$3, 0) + 4) &amp; ":" &amp;
               ADDRESS(1000, MATCH($B7, Attendance_data!$E$3:$BI$3, 0) + 4)),
      "A"
    )
  ),"")</f>
        <v>0.84</v>
      </c>
      <c r="V7" s="18">
        <f t="array" ref="V7">IFERROR(
  COUNTIFS(Attendance_data!$B$4:$B$1000,V$4,
    INDIRECT("Attendance_data!" &amp; ADDRESS(4, MATCH($B7, Attendance_data!$E$3:$BI$3, 0) + 4) &amp; ":" &amp;
             ADDRESS(1000, MATCH($B7, Attendance_data!$E$3:$BI$3, 0) + 4)),
    "P"
  )
  /
  (
    COUNTIFS(
      Attendance_data!$B$4:$B$1000,V$4,
      INDIRECT("Attendance_data!" &amp; ADDRESS(4, MATCH($B7, Attendance_data!$E$3:$BI$3, 0) + 4) &amp; ":" &amp;
               ADDRESS(1000, MATCH($B7, Attendance_data!$E$3:$BI$3, 0) + 4)),
      "P"
    )
    +
    COUNTIFS(
      Attendance_data!$B$4:$B$1000,V$4,
      INDIRECT("Attendance_data!" &amp; ADDRESS(4, MATCH($B7, Attendance_data!$E$3:$BI$3, 0) + 4) &amp; ":" &amp;
               ADDRESS(1000, MATCH($B7, Attendance_data!$E$3:$BI$3, 0) + 4)),
      "A"
    )
  ),"")</f>
        <v>0.88</v>
      </c>
      <c r="W7" s="18">
        <f t="array" ref="W7">IFERROR(
  COUNTIFS(Attendance_data!$B$4:$B$1000,W$4,
    INDIRECT("Attendance_data!" &amp; ADDRESS(4, MATCH($B7, Attendance_data!$E$3:$BI$3, 0) + 4) &amp; ":" &amp;
             ADDRESS(1000, MATCH($B7, Attendance_data!$E$3:$BI$3, 0) + 4)),
    "P"
  )
  /
  (
    COUNTIFS(
      Attendance_data!$B$4:$B$1000,W$4,
      INDIRECT("Attendance_data!" &amp; ADDRESS(4, MATCH($B7, Attendance_data!$E$3:$BI$3, 0) + 4) &amp; ":" &amp;
               ADDRESS(1000, MATCH($B7, Attendance_data!$E$3:$BI$3, 0) + 4)),
      "P"
    )
    +
    COUNTIFS(
      Attendance_data!$B$4:$B$1000,W$4,
      INDIRECT("Attendance_data!" &amp; ADDRESS(4, MATCH($B7, Attendance_data!$E$3:$BI$3, 0) + 4) &amp; ":" &amp;
               ADDRESS(1000, MATCH($B7, Attendance_data!$E$3:$BI$3, 0) + 4)),
      "A"
    )
  ),"")</f>
        <v>0.92</v>
      </c>
      <c r="X7" s="18">
        <f t="array" ref="X7">IFERROR(
  COUNTIFS(Attendance_data!$B$4:$B$1000,X$4,
    INDIRECT("Attendance_data!" &amp; ADDRESS(4, MATCH($B7, Attendance_data!$E$3:$BI$3, 0) + 4) &amp; ":" &amp;
             ADDRESS(1000, MATCH($B7, Attendance_data!$E$3:$BI$3, 0) + 4)),
    "P"
  )
  /
  (
    COUNTIFS(
      Attendance_data!$B$4:$B$1000,X$4,
      INDIRECT("Attendance_data!" &amp; ADDRESS(4, MATCH($B7, Attendance_data!$E$3:$BI$3, 0) + 4) &amp; ":" &amp;
               ADDRESS(1000, MATCH($B7, Attendance_data!$E$3:$BI$3, 0) + 4)),
      "P"
    )
    +
    COUNTIFS(
      Attendance_data!$B$4:$B$1000,X$4,
      INDIRECT("Attendance_data!" &amp; ADDRESS(4, MATCH($B7, Attendance_data!$E$3:$BI$3, 0) + 4) &amp; ":" &amp;
               ADDRESS(1000, MATCH($B7, Attendance_data!$E$3:$BI$3, 0) + 4)),
      "A"
    )
  ),"")</f>
        <v>0.619047619</v>
      </c>
      <c r="Y7" s="18">
        <f t="array" ref="Y7">IFERROR(
  COUNTIFS(Attendance_data!$B$4:$B$1000,Y$4,
    INDIRECT("Attendance_data!" &amp; ADDRESS(4, MATCH($B7, Attendance_data!$E$3:$BI$3, 0) + 4) &amp; ":" &amp;
             ADDRESS(1000, MATCH($B7, Attendance_data!$E$3:$BI$3, 0) + 4)),
    "P"
  )
  /
  (
    COUNTIFS(
      Attendance_data!$B$4:$B$1000,Y$4,
      INDIRECT("Attendance_data!" &amp; ADDRESS(4, MATCH($B7, Attendance_data!$E$3:$BI$3, 0) + 4) &amp; ":" &amp;
               ADDRESS(1000, MATCH($B7, Attendance_data!$E$3:$BI$3, 0) + 4)),
      "P"
    )
    +
    COUNTIFS(
      Attendance_data!$B$4:$B$1000,Y$4,
      INDIRECT("Attendance_data!" &amp; ADDRESS(4, MATCH($B7, Attendance_data!$E$3:$BI$3, 0) + 4) &amp; ":" &amp;
               ADDRESS(1000, MATCH($B7, Attendance_data!$E$3:$BI$3, 0) + 4)),
      "A"
    )
  ),"")</f>
        <v>0.4583333333</v>
      </c>
      <c r="Z7" s="18">
        <f t="array" ref="Z7">IFERROR(
  COUNTIFS(Attendance_data!$B$4:$B$1000,Z$4,
    INDIRECT("Attendance_data!" &amp; ADDRESS(4, MATCH($B7, Attendance_data!$E$3:$BI$3, 0) + 4) &amp; ":" &amp;
             ADDRESS(1000, MATCH($B7, Attendance_data!$E$3:$BI$3, 0) + 4)),
    "P"
  )
  /
  (
    COUNTIFS(
      Attendance_data!$B$4:$B$1000,Z$4,
      INDIRECT("Attendance_data!" &amp; ADDRESS(4, MATCH($B7, Attendance_data!$E$3:$BI$3, 0) + 4) &amp; ":" &amp;
               ADDRESS(1000, MATCH($B7, Attendance_data!$E$3:$BI$3, 0) + 4)),
      "P"
    )
    +
    COUNTIFS(
      Attendance_data!$B$4:$B$1000,Z$4,
      INDIRECT("Attendance_data!" &amp; ADDRESS(4, MATCH($B7, Attendance_data!$E$3:$BI$3, 0) + 4) &amp; ":" &amp;
               ADDRESS(1000, MATCH($B7, Attendance_data!$E$3:$BI$3, 0) + 4)),
      "A"
    )
  ),"")</f>
        <v>0</v>
      </c>
      <c r="AA7" s="18" t="str">
        <f t="array" ref="AA7">IFERROR(
  COUNTIFS(Attendance_data!$B$4:$B$1000,AA$4,
    INDIRECT("Attendance_data!" &amp; ADDRESS(4, MATCH($B7, Attendance_data!$E$3:$BI$3, 0) + 4) &amp; ":" &amp;
             ADDRESS(1000, MATCH($B7, Attendance_data!$E$3:$BI$3, 0) + 4)),
    "P"
  )
  /
  (
    COUNTIFS(
      Attendance_data!$B$4:$B$1000,AA$4,
      INDIRECT("Attendance_data!" &amp; ADDRESS(4, MATCH($B7, Attendance_data!$E$3:$BI$3, 0) + 4) &amp; ":" &amp;
               ADDRESS(1000, MATCH($B7, Attendance_data!$E$3:$BI$3, 0) + 4)),
      "P"
    )
    +
    COUNTIFS(
      Attendance_data!$B$4:$B$1000,AA$4,
      INDIRECT("Attendance_data!" &amp; ADDRESS(4, MATCH($B7, Attendance_data!$E$3:$BI$3, 0) + 4) &amp; ":" &amp;
               ADDRESS(1000, MATCH($B7, Attendance_data!$E$3:$BI$3, 0) + 4)),
      "A"
    )
  ),"")</f>
        <v/>
      </c>
      <c r="AB7" s="19">
        <f t="shared" si="3"/>
        <v>0.782715276</v>
      </c>
      <c r="AC7" s="1"/>
      <c r="AD7" s="1"/>
      <c r="AE7" s="1"/>
      <c r="AF7" s="1"/>
      <c r="AG7" s="1"/>
      <c r="AH7" s="1"/>
    </row>
    <row r="8">
      <c r="A8" s="14">
        <f t="shared" si="2"/>
        <v>4</v>
      </c>
      <c r="B8" s="15" t="s">
        <v>33</v>
      </c>
      <c r="C8" s="15" t="s">
        <v>34</v>
      </c>
      <c r="D8" s="15" t="s">
        <v>30</v>
      </c>
      <c r="E8" s="15" t="s">
        <v>21</v>
      </c>
      <c r="F8" s="15">
        <v>9.076021738E9</v>
      </c>
      <c r="G8" s="15" t="s">
        <v>35</v>
      </c>
      <c r="H8" s="15">
        <v>2016.0</v>
      </c>
      <c r="I8" s="16" t="s">
        <v>23</v>
      </c>
      <c r="J8" s="17">
        <v>26.0</v>
      </c>
      <c r="K8" s="17">
        <v>23.0</v>
      </c>
      <c r="L8" s="17">
        <v>27.0</v>
      </c>
      <c r="M8" s="17">
        <v>27.0</v>
      </c>
      <c r="N8" s="17">
        <v>28.0</v>
      </c>
      <c r="O8" s="17" t="s">
        <v>32</v>
      </c>
      <c r="P8" s="18">
        <f t="array" ref="P8">IFERROR(
  COUNTIFS(Attendance_data!$B$4:$B$1000,P$4,
    INDIRECT("Attendance_data!" &amp; ADDRESS(4, MATCH($B8, Attendance_data!$E$3:$BI$3, 0) + 4) &amp; ":" &amp;
             ADDRESS(1000, MATCH($B8, Attendance_data!$E$3:$BI$3, 0) + 4)),
    "P"
  )
  /
  (
    COUNTIFS(
      Attendance_data!$B$4:$B$1000,P$4,
      INDIRECT("Attendance_data!" &amp; ADDRESS(4, MATCH($B8, Attendance_data!$E$3:$BI$3, 0) + 4) &amp; ":" &amp;
               ADDRESS(1000, MATCH($B8, Attendance_data!$E$3:$BI$3, 0) + 4)),
      "P"
    )
    +
    COUNTIFS(
      Attendance_data!$B$4:$B$1000,P$4,
      INDIRECT("Attendance_data!" &amp; ADDRESS(4, MATCH($B8, Attendance_data!$E$3:$BI$3, 0) + 4) &amp; ":" &amp;
               ADDRESS(1000, MATCH($B8, Attendance_data!$E$3:$BI$3, 0) + 4)),
      "A"
    )
  ),"")</f>
        <v>0.8571428571</v>
      </c>
      <c r="Q8" s="18">
        <f t="array" ref="Q8">IFERROR(
  COUNTIFS(Attendance_data!$B$4:$B$1000,Q$4,
    INDIRECT("Attendance_data!" &amp; ADDRESS(4, MATCH($B8, Attendance_data!$E$3:$BI$3, 0) + 4) &amp; ":" &amp;
             ADDRESS(1000, MATCH($B8, Attendance_data!$E$3:$BI$3, 0) + 4)),
    "P"
  )
  /
  (
    COUNTIFS(
      Attendance_data!$B$4:$B$1000,Q$4,
      INDIRECT("Attendance_data!" &amp; ADDRESS(4, MATCH($B8, Attendance_data!$E$3:$BI$3, 0) + 4) &amp; ":" &amp;
               ADDRESS(1000, MATCH($B8, Attendance_data!$E$3:$BI$3, 0) + 4)),
      "P"
    )
    +
    COUNTIFS(
      Attendance_data!$B$4:$B$1000,Q$4,
      INDIRECT("Attendance_data!" &amp; ADDRESS(4, MATCH($B8, Attendance_data!$E$3:$BI$3, 0) + 4) &amp; ":" &amp;
               ADDRESS(1000, MATCH($B8, Attendance_data!$E$3:$BI$3, 0) + 4)),
      "A"
    )
  ),"")</f>
        <v>0.4615384615</v>
      </c>
      <c r="R8" s="18">
        <f t="array" ref="R8">IFERROR(
  COUNTIFS(Attendance_data!$B$4:$B$1000,R$4,
    INDIRECT("Attendance_data!" &amp; ADDRESS(4, MATCH($B8, Attendance_data!$E$3:$BI$3, 0) + 4) &amp; ":" &amp;
             ADDRESS(1000, MATCH($B8, Attendance_data!$E$3:$BI$3, 0) + 4)),
    "P"
  )
  /
  (
    COUNTIFS(
      Attendance_data!$B$4:$B$1000,R$4,
      INDIRECT("Attendance_data!" &amp; ADDRESS(4, MATCH($B8, Attendance_data!$E$3:$BI$3, 0) + 4) &amp; ":" &amp;
               ADDRESS(1000, MATCH($B8, Attendance_data!$E$3:$BI$3, 0) + 4)),
      "P"
    )
    +
    COUNTIFS(
      Attendance_data!$B$4:$B$1000,R$4,
      INDIRECT("Attendance_data!" &amp; ADDRESS(4, MATCH($B8, Attendance_data!$E$3:$BI$3, 0) + 4) &amp; ":" &amp;
               ADDRESS(1000, MATCH($B8, Attendance_data!$E$3:$BI$3, 0) + 4)),
      "A"
    )
  ),"")</f>
        <v>0.4736842105</v>
      </c>
      <c r="S8" s="18">
        <f t="array" ref="S8">IFERROR(
  COUNTIFS(Attendance_data!$B$4:$B$1000,S$4,
    INDIRECT("Attendance_data!" &amp; ADDRESS(4, MATCH($B8, Attendance_data!$E$3:$BI$3, 0) + 4) &amp; ":" &amp;
             ADDRESS(1000, MATCH($B8, Attendance_data!$E$3:$BI$3, 0) + 4)),
    "P"
  )
  /
  (
    COUNTIFS(
      Attendance_data!$B$4:$B$1000,S$4,
      INDIRECT("Attendance_data!" &amp; ADDRESS(4, MATCH($B8, Attendance_data!$E$3:$BI$3, 0) + 4) &amp; ":" &amp;
               ADDRESS(1000, MATCH($B8, Attendance_data!$E$3:$BI$3, 0) + 4)),
      "P"
    )
    +
    COUNTIFS(
      Attendance_data!$B$4:$B$1000,S$4,
      INDIRECT("Attendance_data!" &amp; ADDRESS(4, MATCH($B8, Attendance_data!$E$3:$BI$3, 0) + 4) &amp; ":" &amp;
               ADDRESS(1000, MATCH($B8, Attendance_data!$E$3:$BI$3, 0) + 4)),
      "A"
    )
  ),"")</f>
        <v>0.6818181818</v>
      </c>
      <c r="T8" s="18">
        <f t="array" ref="T8">IFERROR(
  COUNTIFS(Attendance_data!$B$4:$B$1000,T$4,
    INDIRECT("Attendance_data!" &amp; ADDRESS(4, MATCH($B8, Attendance_data!$E$3:$BI$3, 0) + 4) &amp; ":" &amp;
             ADDRESS(1000, MATCH($B8, Attendance_data!$E$3:$BI$3, 0) + 4)),
    "P"
  )
  /
  (
    COUNTIFS(
      Attendance_data!$B$4:$B$1000,T$4,
      INDIRECT("Attendance_data!" &amp; ADDRESS(4, MATCH($B8, Attendance_data!$E$3:$BI$3, 0) + 4) &amp; ":" &amp;
               ADDRESS(1000, MATCH($B8, Attendance_data!$E$3:$BI$3, 0) + 4)),
      "P"
    )
    +
    COUNTIFS(
      Attendance_data!$B$4:$B$1000,T$4,
      INDIRECT("Attendance_data!" &amp; ADDRESS(4, MATCH($B8, Attendance_data!$E$3:$BI$3, 0) + 4) &amp; ":" &amp;
               ADDRESS(1000, MATCH($B8, Attendance_data!$E$3:$BI$3, 0) + 4)),
      "A"
    )
  ),"")</f>
        <v>0.8</v>
      </c>
      <c r="U8" s="18">
        <f t="array" ref="U8">IFERROR(
  COUNTIFS(Attendance_data!$B$4:$B$1000,U$4,
    INDIRECT("Attendance_data!" &amp; ADDRESS(4, MATCH($B8, Attendance_data!$E$3:$BI$3, 0) + 4) &amp; ":" &amp;
             ADDRESS(1000, MATCH($B8, Attendance_data!$E$3:$BI$3, 0) + 4)),
    "P"
  )
  /
  (
    COUNTIFS(
      Attendance_data!$B$4:$B$1000,U$4,
      INDIRECT("Attendance_data!" &amp; ADDRESS(4, MATCH($B8, Attendance_data!$E$3:$BI$3, 0) + 4) &amp; ":" &amp;
               ADDRESS(1000, MATCH($B8, Attendance_data!$E$3:$BI$3, 0) + 4)),
      "P"
    )
    +
    COUNTIFS(
      Attendance_data!$B$4:$B$1000,U$4,
      INDIRECT("Attendance_data!" &amp; ADDRESS(4, MATCH($B8, Attendance_data!$E$3:$BI$3, 0) + 4) &amp; ":" &amp;
               ADDRESS(1000, MATCH($B8, Attendance_data!$E$3:$BI$3, 0) + 4)),
      "A"
    )
  ),"")</f>
        <v>0.64</v>
      </c>
      <c r="V8" s="18">
        <f t="array" ref="V8">IFERROR(
  COUNTIFS(Attendance_data!$B$4:$B$1000,V$4,
    INDIRECT("Attendance_data!" &amp; ADDRESS(4, MATCH($B8, Attendance_data!$E$3:$BI$3, 0) + 4) &amp; ":" &amp;
             ADDRESS(1000, MATCH($B8, Attendance_data!$E$3:$BI$3, 0) + 4)),
    "P"
  )
  /
  (
    COUNTIFS(
      Attendance_data!$B$4:$B$1000,V$4,
      INDIRECT("Attendance_data!" &amp; ADDRESS(4, MATCH($B8, Attendance_data!$E$3:$BI$3, 0) + 4) &amp; ":" &amp;
               ADDRESS(1000, MATCH($B8, Attendance_data!$E$3:$BI$3, 0) + 4)),
      "P"
    )
    +
    COUNTIFS(
      Attendance_data!$B$4:$B$1000,V$4,
      INDIRECT("Attendance_data!" &amp; ADDRESS(4, MATCH($B8, Attendance_data!$E$3:$BI$3, 0) + 4) &amp; ":" &amp;
               ADDRESS(1000, MATCH($B8, Attendance_data!$E$3:$BI$3, 0) + 4)),
      "A"
    )
  ),"")</f>
        <v>0.48</v>
      </c>
      <c r="W8" s="18">
        <f t="array" ref="W8">IFERROR(
  COUNTIFS(Attendance_data!$B$4:$B$1000,W$4,
    INDIRECT("Attendance_data!" &amp; ADDRESS(4, MATCH($B8, Attendance_data!$E$3:$BI$3, 0) + 4) &amp; ":" &amp;
             ADDRESS(1000, MATCH($B8, Attendance_data!$E$3:$BI$3, 0) + 4)),
    "P"
  )
  /
  (
    COUNTIFS(
      Attendance_data!$B$4:$B$1000,W$4,
      INDIRECT("Attendance_data!" &amp; ADDRESS(4, MATCH($B8, Attendance_data!$E$3:$BI$3, 0) + 4) &amp; ":" &amp;
               ADDRESS(1000, MATCH($B8, Attendance_data!$E$3:$BI$3, 0) + 4)),
      "P"
    )
    +
    COUNTIFS(
      Attendance_data!$B$4:$B$1000,W$4,
      INDIRECT("Attendance_data!" &amp; ADDRESS(4, MATCH($B8, Attendance_data!$E$3:$BI$3, 0) + 4) &amp; ":" &amp;
               ADDRESS(1000, MATCH($B8, Attendance_data!$E$3:$BI$3, 0) + 4)),
      "A"
    )
  ),"")</f>
        <v>0.04</v>
      </c>
      <c r="X8" s="18">
        <f t="array" ref="X8">IFERROR(
  COUNTIFS(Attendance_data!$B$4:$B$1000,X$4,
    INDIRECT("Attendance_data!" &amp; ADDRESS(4, MATCH($B8, Attendance_data!$E$3:$BI$3, 0) + 4) &amp; ":" &amp;
             ADDRESS(1000, MATCH($B8, Attendance_data!$E$3:$BI$3, 0) + 4)),
    "P"
  )
  /
  (
    COUNTIFS(
      Attendance_data!$B$4:$B$1000,X$4,
      INDIRECT("Attendance_data!" &amp; ADDRESS(4, MATCH($B8, Attendance_data!$E$3:$BI$3, 0) + 4) &amp; ":" &amp;
               ADDRESS(1000, MATCH($B8, Attendance_data!$E$3:$BI$3, 0) + 4)),
      "P"
    )
    +
    COUNTIFS(
      Attendance_data!$B$4:$B$1000,X$4,
      INDIRECT("Attendance_data!" &amp; ADDRESS(4, MATCH($B8, Attendance_data!$E$3:$BI$3, 0) + 4) &amp; ":" &amp;
               ADDRESS(1000, MATCH($B8, Attendance_data!$E$3:$BI$3, 0) + 4)),
      "A"
    )
  ),"")</f>
        <v>0.2857142857</v>
      </c>
      <c r="Y8" s="18">
        <f t="array" ref="Y8">IFERROR(
  COUNTIFS(Attendance_data!$B$4:$B$1000,Y$4,
    INDIRECT("Attendance_data!" &amp; ADDRESS(4, MATCH($B8, Attendance_data!$E$3:$BI$3, 0) + 4) &amp; ":" &amp;
             ADDRESS(1000, MATCH($B8, Attendance_data!$E$3:$BI$3, 0) + 4)),
    "P"
  )
  /
  (
    COUNTIFS(
      Attendance_data!$B$4:$B$1000,Y$4,
      INDIRECT("Attendance_data!" &amp; ADDRESS(4, MATCH($B8, Attendance_data!$E$3:$BI$3, 0) + 4) &amp; ":" &amp;
               ADDRESS(1000, MATCH($B8, Attendance_data!$E$3:$BI$3, 0) + 4)),
      "P"
    )
    +
    COUNTIFS(
      Attendance_data!$B$4:$B$1000,Y$4,
      INDIRECT("Attendance_data!" &amp; ADDRESS(4, MATCH($B8, Attendance_data!$E$3:$BI$3, 0) + 4) &amp; ":" &amp;
               ADDRESS(1000, MATCH($B8, Attendance_data!$E$3:$BI$3, 0) + 4)),
      "A"
    )
  ),"")</f>
        <v>0.125</v>
      </c>
      <c r="Z8" s="18">
        <f t="array" ref="Z8">IFERROR(
  COUNTIFS(Attendance_data!$B$4:$B$1000,Z$4,
    INDIRECT("Attendance_data!" &amp; ADDRESS(4, MATCH($B8, Attendance_data!$E$3:$BI$3, 0) + 4) &amp; ":" &amp;
             ADDRESS(1000, MATCH($B8, Attendance_data!$E$3:$BI$3, 0) + 4)),
    "P"
  )
  /
  (
    COUNTIFS(
      Attendance_data!$B$4:$B$1000,Z$4,
      INDIRECT("Attendance_data!" &amp; ADDRESS(4, MATCH($B8, Attendance_data!$E$3:$BI$3, 0) + 4) &amp; ":" &amp;
               ADDRESS(1000, MATCH($B8, Attendance_data!$E$3:$BI$3, 0) + 4)),
      "P"
    )
    +
    COUNTIFS(
      Attendance_data!$B$4:$B$1000,Z$4,
      INDIRECT("Attendance_data!" &amp; ADDRESS(4, MATCH($B8, Attendance_data!$E$3:$BI$3, 0) + 4) &amp; ":" &amp;
               ADDRESS(1000, MATCH($B8, Attendance_data!$E$3:$BI$3, 0) + 4)),
      "A"
    )
  ),"")</f>
        <v>0</v>
      </c>
      <c r="AA8" s="18" t="str">
        <f t="array" ref="AA8">IFERROR(
  COUNTIFS(Attendance_data!$B$4:$B$1000,AA$4,
    INDIRECT("Attendance_data!" &amp; ADDRESS(4, MATCH($B8, Attendance_data!$E$3:$BI$3, 0) + 4) &amp; ":" &amp;
             ADDRESS(1000, MATCH($B8, Attendance_data!$E$3:$BI$3, 0) + 4)),
    "P"
  )
  /
  (
    COUNTIFS(
      Attendance_data!$B$4:$B$1000,AA$4,
      INDIRECT("Attendance_data!" &amp; ADDRESS(4, MATCH($B8, Attendance_data!$E$3:$BI$3, 0) + 4) &amp; ":" &amp;
               ADDRESS(1000, MATCH($B8, Attendance_data!$E$3:$BI$3, 0) + 4)),
      "P"
    )
    +
    COUNTIFS(
      Attendance_data!$B$4:$B$1000,AA$4,
      INDIRECT("Attendance_data!" &amp; ADDRESS(4, MATCH($B8, Attendance_data!$E$3:$BI$3, 0) + 4) &amp; ":" &amp;
               ADDRESS(1000, MATCH($B8, Attendance_data!$E$3:$BI$3, 0) + 4)),
      "A"
    )
  ),"")</f>
        <v/>
      </c>
      <c r="AB8" s="19">
        <f t="shared" si="3"/>
        <v>0.4844897997</v>
      </c>
      <c r="AC8" s="1"/>
      <c r="AD8" s="1"/>
      <c r="AE8" s="1"/>
      <c r="AF8" s="1"/>
      <c r="AG8" s="1"/>
      <c r="AH8" s="1"/>
    </row>
    <row r="9">
      <c r="A9" s="14">
        <f t="shared" si="2"/>
        <v>5</v>
      </c>
      <c r="B9" s="15" t="s">
        <v>36</v>
      </c>
      <c r="C9" s="15" t="s">
        <v>37</v>
      </c>
      <c r="D9" s="15" t="s">
        <v>30</v>
      </c>
      <c r="E9" s="15" t="s">
        <v>38</v>
      </c>
      <c r="F9" s="15">
        <v>9.769889782E9</v>
      </c>
      <c r="G9" s="15" t="s">
        <v>39</v>
      </c>
      <c r="H9" s="15">
        <v>2018.0</v>
      </c>
      <c r="I9" s="16" t="s">
        <v>23</v>
      </c>
      <c r="J9" s="17">
        <v>26.0</v>
      </c>
      <c r="K9" s="17">
        <v>27.0</v>
      </c>
      <c r="L9" s="17">
        <v>27.0</v>
      </c>
      <c r="M9" s="17">
        <v>26.0</v>
      </c>
      <c r="N9" s="17">
        <v>29.0</v>
      </c>
      <c r="O9" s="17" t="s">
        <v>32</v>
      </c>
      <c r="P9" s="18">
        <f t="array" ref="P9">IFERROR(
  COUNTIFS(Attendance_data!$B$4:$B$1000,P$4,
    INDIRECT("Attendance_data!" &amp; ADDRESS(4, MATCH($B9, Attendance_data!$E$3:$BI$3, 0) + 4) &amp; ":" &amp;
             ADDRESS(1000, MATCH($B9, Attendance_data!$E$3:$BI$3, 0) + 4)),
    "P"
  )
  /
  (
    COUNTIFS(
      Attendance_data!$B$4:$B$1000,P$4,
      INDIRECT("Attendance_data!" &amp; ADDRESS(4, MATCH($B9, Attendance_data!$E$3:$BI$3, 0) + 4) &amp; ":" &amp;
               ADDRESS(1000, MATCH($B9, Attendance_data!$E$3:$BI$3, 0) + 4)),
      "P"
    )
    +
    COUNTIFS(
      Attendance_data!$B$4:$B$1000,P$4,
      INDIRECT("Attendance_data!" &amp; ADDRESS(4, MATCH($B9, Attendance_data!$E$3:$BI$3, 0) + 4) &amp; ":" &amp;
               ADDRESS(1000, MATCH($B9, Attendance_data!$E$3:$BI$3, 0) + 4)),
      "A"
    )
  ),"")</f>
        <v>1</v>
      </c>
      <c r="Q9" s="18">
        <f t="array" ref="Q9">IFERROR(
  COUNTIFS(Attendance_data!$B$4:$B$1000,Q$4,
    INDIRECT("Attendance_data!" &amp; ADDRESS(4, MATCH($B9, Attendance_data!$E$3:$BI$3, 0) + 4) &amp; ":" &amp;
             ADDRESS(1000, MATCH($B9, Attendance_data!$E$3:$BI$3, 0) + 4)),
    "P"
  )
  /
  (
    COUNTIFS(
      Attendance_data!$B$4:$B$1000,Q$4,
      INDIRECT("Attendance_data!" &amp; ADDRESS(4, MATCH($B9, Attendance_data!$E$3:$BI$3, 0) + 4) &amp; ":" &amp;
               ADDRESS(1000, MATCH($B9, Attendance_data!$E$3:$BI$3, 0) + 4)),
      "P"
    )
    +
    COUNTIFS(
      Attendance_data!$B$4:$B$1000,Q$4,
      INDIRECT("Attendance_data!" &amp; ADDRESS(4, MATCH($B9, Attendance_data!$E$3:$BI$3, 0) + 4) &amp; ":" &amp;
               ADDRESS(1000, MATCH($B9, Attendance_data!$E$3:$BI$3, 0) + 4)),
      "A"
    )
  ),"")</f>
        <v>0.9615384615</v>
      </c>
      <c r="R9" s="18">
        <f t="array" ref="R9">IFERROR(
  COUNTIFS(Attendance_data!$B$4:$B$1000,R$4,
    INDIRECT("Attendance_data!" &amp; ADDRESS(4, MATCH($B9, Attendance_data!$E$3:$BI$3, 0) + 4) &amp; ":" &amp;
             ADDRESS(1000, MATCH($B9, Attendance_data!$E$3:$BI$3, 0) + 4)),
    "P"
  )
  /
  (
    COUNTIFS(
      Attendance_data!$B$4:$B$1000,R$4,
      INDIRECT("Attendance_data!" &amp; ADDRESS(4, MATCH($B9, Attendance_data!$E$3:$BI$3, 0) + 4) &amp; ":" &amp;
               ADDRESS(1000, MATCH($B9, Attendance_data!$E$3:$BI$3, 0) + 4)),
      "P"
    )
    +
    COUNTIFS(
      Attendance_data!$B$4:$B$1000,R$4,
      INDIRECT("Attendance_data!" &amp; ADDRESS(4, MATCH($B9, Attendance_data!$E$3:$BI$3, 0) + 4) &amp; ":" &amp;
               ADDRESS(1000, MATCH($B9, Attendance_data!$E$3:$BI$3, 0) + 4)),
      "A"
    )
  ),"")</f>
        <v>0.9473684211</v>
      </c>
      <c r="S9" s="18">
        <f t="array" ref="S9">IFERROR(
  COUNTIFS(Attendance_data!$B$4:$B$1000,S$4,
    INDIRECT("Attendance_data!" &amp; ADDRESS(4, MATCH($B9, Attendance_data!$E$3:$BI$3, 0) + 4) &amp; ":" &amp;
             ADDRESS(1000, MATCH($B9, Attendance_data!$E$3:$BI$3, 0) + 4)),
    "P"
  )
  /
  (
    COUNTIFS(
      Attendance_data!$B$4:$B$1000,S$4,
      INDIRECT("Attendance_data!" &amp; ADDRESS(4, MATCH($B9, Attendance_data!$E$3:$BI$3, 0) + 4) &amp; ":" &amp;
               ADDRESS(1000, MATCH($B9, Attendance_data!$E$3:$BI$3, 0) + 4)),
      "P"
    )
    +
    COUNTIFS(
      Attendance_data!$B$4:$B$1000,S$4,
      INDIRECT("Attendance_data!" &amp; ADDRESS(4, MATCH($B9, Attendance_data!$E$3:$BI$3, 0) + 4) &amp; ":" &amp;
               ADDRESS(1000, MATCH($B9, Attendance_data!$E$3:$BI$3, 0) + 4)),
      "A"
    )
  ),"")</f>
        <v>1</v>
      </c>
      <c r="T9" s="18">
        <f t="array" ref="T9">IFERROR(
  COUNTIFS(Attendance_data!$B$4:$B$1000,T$4,
    INDIRECT("Attendance_data!" &amp; ADDRESS(4, MATCH($B9, Attendance_data!$E$3:$BI$3, 0) + 4) &amp; ":" &amp;
             ADDRESS(1000, MATCH($B9, Attendance_data!$E$3:$BI$3, 0) + 4)),
    "P"
  )
  /
  (
    COUNTIFS(
      Attendance_data!$B$4:$B$1000,T$4,
      INDIRECT("Attendance_data!" &amp; ADDRESS(4, MATCH($B9, Attendance_data!$E$3:$BI$3, 0) + 4) &amp; ":" &amp;
               ADDRESS(1000, MATCH($B9, Attendance_data!$E$3:$BI$3, 0) + 4)),
      "P"
    )
    +
    COUNTIFS(
      Attendance_data!$B$4:$B$1000,T$4,
      INDIRECT("Attendance_data!" &amp; ADDRESS(4, MATCH($B9, Attendance_data!$E$3:$BI$3, 0) + 4) &amp; ":" &amp;
               ADDRESS(1000, MATCH($B9, Attendance_data!$E$3:$BI$3, 0) + 4)),
      "A"
    )
  ),"")</f>
        <v>0.95</v>
      </c>
      <c r="U9" s="18">
        <f t="array" ref="U9">IFERROR(
  COUNTIFS(Attendance_data!$B$4:$B$1000,U$4,
    INDIRECT("Attendance_data!" &amp; ADDRESS(4, MATCH($B9, Attendance_data!$E$3:$BI$3, 0) + 4) &amp; ":" &amp;
             ADDRESS(1000, MATCH($B9, Attendance_data!$E$3:$BI$3, 0) + 4)),
    "P"
  )
  /
  (
    COUNTIFS(
      Attendance_data!$B$4:$B$1000,U$4,
      INDIRECT("Attendance_data!" &amp; ADDRESS(4, MATCH($B9, Attendance_data!$E$3:$BI$3, 0) + 4) &amp; ":" &amp;
               ADDRESS(1000, MATCH($B9, Attendance_data!$E$3:$BI$3, 0) + 4)),
      "P"
    )
    +
    COUNTIFS(
      Attendance_data!$B$4:$B$1000,U$4,
      INDIRECT("Attendance_data!" &amp; ADDRESS(4, MATCH($B9, Attendance_data!$E$3:$BI$3, 0) + 4) &amp; ":" &amp;
               ADDRESS(1000, MATCH($B9, Attendance_data!$E$3:$BI$3, 0) + 4)),
      "A"
    )
  ),"")</f>
        <v>1</v>
      </c>
      <c r="V9" s="18">
        <f t="array" ref="V9">IFERROR(
  COUNTIFS(Attendance_data!$B$4:$B$1000,V$4,
    INDIRECT("Attendance_data!" &amp; ADDRESS(4, MATCH($B9, Attendance_data!$E$3:$BI$3, 0) + 4) &amp; ":" &amp;
             ADDRESS(1000, MATCH($B9, Attendance_data!$E$3:$BI$3, 0) + 4)),
    "P"
  )
  /
  (
    COUNTIFS(
      Attendance_data!$B$4:$B$1000,V$4,
      INDIRECT("Attendance_data!" &amp; ADDRESS(4, MATCH($B9, Attendance_data!$E$3:$BI$3, 0) + 4) &amp; ":" &amp;
               ADDRESS(1000, MATCH($B9, Attendance_data!$E$3:$BI$3, 0) + 4)),
      "P"
    )
    +
    COUNTIFS(
      Attendance_data!$B$4:$B$1000,V$4,
      INDIRECT("Attendance_data!" &amp; ADDRESS(4, MATCH($B9, Attendance_data!$E$3:$BI$3, 0) + 4) &amp; ":" &amp;
               ADDRESS(1000, MATCH($B9, Attendance_data!$E$3:$BI$3, 0) + 4)),
      "A"
    )
  ),"")</f>
        <v>1</v>
      </c>
      <c r="W9" s="18">
        <f t="array" ref="W9">IFERROR(
  COUNTIFS(Attendance_data!$B$4:$B$1000,W$4,
    INDIRECT("Attendance_data!" &amp; ADDRESS(4, MATCH($B9, Attendance_data!$E$3:$BI$3, 0) + 4) &amp; ":" &amp;
             ADDRESS(1000, MATCH($B9, Attendance_data!$E$3:$BI$3, 0) + 4)),
    "P"
  )
  /
  (
    COUNTIFS(
      Attendance_data!$B$4:$B$1000,W$4,
      INDIRECT("Attendance_data!" &amp; ADDRESS(4, MATCH($B9, Attendance_data!$E$3:$BI$3, 0) + 4) &amp; ":" &amp;
               ADDRESS(1000, MATCH($B9, Attendance_data!$E$3:$BI$3, 0) + 4)),
      "P"
    )
    +
    COUNTIFS(
      Attendance_data!$B$4:$B$1000,W$4,
      INDIRECT("Attendance_data!" &amp; ADDRESS(4, MATCH($B9, Attendance_data!$E$3:$BI$3, 0) + 4) &amp; ":" &amp;
               ADDRESS(1000, MATCH($B9, Attendance_data!$E$3:$BI$3, 0) + 4)),
      "A"
    )
  ),"")</f>
        <v>1</v>
      </c>
      <c r="X9" s="18">
        <f t="array" ref="X9">IFERROR(
  COUNTIFS(Attendance_data!$B$4:$B$1000,X$4,
    INDIRECT("Attendance_data!" &amp; ADDRESS(4, MATCH($B9, Attendance_data!$E$3:$BI$3, 0) + 4) &amp; ":" &amp;
             ADDRESS(1000, MATCH($B9, Attendance_data!$E$3:$BI$3, 0) + 4)),
    "P"
  )
  /
  (
    COUNTIFS(
      Attendance_data!$B$4:$B$1000,X$4,
      INDIRECT("Attendance_data!" &amp; ADDRESS(4, MATCH($B9, Attendance_data!$E$3:$BI$3, 0) + 4) &amp; ":" &amp;
               ADDRESS(1000, MATCH($B9, Attendance_data!$E$3:$BI$3, 0) + 4)),
      "P"
    )
    +
    COUNTIFS(
      Attendance_data!$B$4:$B$1000,X$4,
      INDIRECT("Attendance_data!" &amp; ADDRESS(4, MATCH($B9, Attendance_data!$E$3:$BI$3, 0) + 4) &amp; ":" &amp;
               ADDRESS(1000, MATCH($B9, Attendance_data!$E$3:$BI$3, 0) + 4)),
      "A"
    )
  ),"")</f>
        <v>0.6666666667</v>
      </c>
      <c r="Y9" s="18">
        <f t="array" ref="Y9">IFERROR(
  COUNTIFS(Attendance_data!$B$4:$B$1000,Y$4,
    INDIRECT("Attendance_data!" &amp; ADDRESS(4, MATCH($B9, Attendance_data!$E$3:$BI$3, 0) + 4) &amp; ":" &amp;
             ADDRESS(1000, MATCH($B9, Attendance_data!$E$3:$BI$3, 0) + 4)),
    "P"
  )
  /
  (
    COUNTIFS(
      Attendance_data!$B$4:$B$1000,Y$4,
      INDIRECT("Attendance_data!" &amp; ADDRESS(4, MATCH($B9, Attendance_data!$E$3:$BI$3, 0) + 4) &amp; ":" &amp;
               ADDRESS(1000, MATCH($B9, Attendance_data!$E$3:$BI$3, 0) + 4)),
      "P"
    )
    +
    COUNTIFS(
      Attendance_data!$B$4:$B$1000,Y$4,
      INDIRECT("Attendance_data!" &amp; ADDRESS(4, MATCH($B9, Attendance_data!$E$3:$BI$3, 0) + 4) &amp; ":" &amp;
               ADDRESS(1000, MATCH($B9, Attendance_data!$E$3:$BI$3, 0) + 4)),
      "A"
    )
  ),"")</f>
        <v>0.6666666667</v>
      </c>
      <c r="Z9" s="18">
        <f t="array" ref="Z9">IFERROR(
  COUNTIFS(Attendance_data!$B$4:$B$1000,Z$4,
    INDIRECT("Attendance_data!" &amp; ADDRESS(4, MATCH($B9, Attendance_data!$E$3:$BI$3, 0) + 4) &amp; ":" &amp;
             ADDRESS(1000, MATCH($B9, Attendance_data!$E$3:$BI$3, 0) + 4)),
    "P"
  )
  /
  (
    COUNTIFS(
      Attendance_data!$B$4:$B$1000,Z$4,
      INDIRECT("Attendance_data!" &amp; ADDRESS(4, MATCH($B9, Attendance_data!$E$3:$BI$3, 0) + 4) &amp; ":" &amp;
               ADDRESS(1000, MATCH($B9, Attendance_data!$E$3:$BI$3, 0) + 4)),
      "P"
    )
    +
    COUNTIFS(
      Attendance_data!$B$4:$B$1000,Z$4,
      INDIRECT("Attendance_data!" &amp; ADDRESS(4, MATCH($B9, Attendance_data!$E$3:$BI$3, 0) + 4) &amp; ":" &amp;
               ADDRESS(1000, MATCH($B9, Attendance_data!$E$3:$BI$3, 0) + 4)),
      "A"
    )
  ),"")</f>
        <v>0.2222222222</v>
      </c>
      <c r="AA9" s="18" t="str">
        <f t="array" ref="AA9">IFERROR(
  COUNTIFS(Attendance_data!$B$4:$B$1000,AA$4,
    INDIRECT("Attendance_data!" &amp; ADDRESS(4, MATCH($B9, Attendance_data!$E$3:$BI$3, 0) + 4) &amp; ":" &amp;
             ADDRESS(1000, MATCH($B9, Attendance_data!$E$3:$BI$3, 0) + 4)),
    "P"
  )
  /
  (
    COUNTIFS(
      Attendance_data!$B$4:$B$1000,AA$4,
      INDIRECT("Attendance_data!" &amp; ADDRESS(4, MATCH($B9, Attendance_data!$E$3:$BI$3, 0) + 4) &amp; ":" &amp;
               ADDRESS(1000, MATCH($B9, Attendance_data!$E$3:$BI$3, 0) + 4)),
      "P"
    )
    +
    COUNTIFS(
      Attendance_data!$B$4:$B$1000,AA$4,
      INDIRECT("Attendance_data!" &amp; ADDRESS(4, MATCH($B9, Attendance_data!$E$3:$BI$3, 0) + 4) &amp; ":" &amp;
               ADDRESS(1000, MATCH($B9, Attendance_data!$E$3:$BI$3, 0) + 4)),
      "A"
    )
  ),"")</f>
        <v/>
      </c>
      <c r="AB9" s="19">
        <f t="shared" si="3"/>
        <v>0.8558602216</v>
      </c>
      <c r="AC9" s="1"/>
      <c r="AD9" s="1"/>
      <c r="AE9" s="1"/>
      <c r="AF9" s="1"/>
      <c r="AG9" s="1"/>
      <c r="AH9" s="1"/>
    </row>
    <row r="10">
      <c r="A10" s="14">
        <f t="shared" si="2"/>
        <v>6</v>
      </c>
      <c r="B10" s="15" t="s">
        <v>40</v>
      </c>
      <c r="C10" s="15" t="s">
        <v>41</v>
      </c>
      <c r="D10" s="15" t="s">
        <v>42</v>
      </c>
      <c r="E10" s="15" t="s">
        <v>38</v>
      </c>
      <c r="F10" s="15">
        <v>8.591911057E9</v>
      </c>
      <c r="G10" s="15" t="s">
        <v>39</v>
      </c>
      <c r="H10" s="15">
        <v>2020.0</v>
      </c>
      <c r="I10" s="16" t="s">
        <v>23</v>
      </c>
      <c r="J10" s="17">
        <v>19.0</v>
      </c>
      <c r="K10" s="20">
        <v>25.0</v>
      </c>
      <c r="L10" s="17">
        <v>28.0</v>
      </c>
      <c r="M10" s="17">
        <v>27.0</v>
      </c>
      <c r="N10" s="17">
        <v>28.0</v>
      </c>
      <c r="O10" s="17">
        <v>21.0</v>
      </c>
      <c r="P10" s="18">
        <f t="array" ref="P10">IFERROR(
  COUNTIFS(Attendance_data!$B$4:$B$1000,P$4,
    INDIRECT("Attendance_data!" &amp; ADDRESS(4, MATCH($B10, Attendance_data!$E$3:$BI$3, 0) + 4) &amp; ":" &amp;
             ADDRESS(1000, MATCH($B10, Attendance_data!$E$3:$BI$3, 0) + 4)),
    "P"
  )
  /
  (
    COUNTIFS(
      Attendance_data!$B$4:$B$1000,P$4,
      INDIRECT("Attendance_data!" &amp; ADDRESS(4, MATCH($B10, Attendance_data!$E$3:$BI$3, 0) + 4) &amp; ":" &amp;
               ADDRESS(1000, MATCH($B10, Attendance_data!$E$3:$BI$3, 0) + 4)),
      "P"
    )
    +
    COUNTIFS(
      Attendance_data!$B$4:$B$1000,P$4,
      INDIRECT("Attendance_data!" &amp; ADDRESS(4, MATCH($B10, Attendance_data!$E$3:$BI$3, 0) + 4) &amp; ":" &amp;
               ADDRESS(1000, MATCH($B10, Attendance_data!$E$3:$BI$3, 0) + 4)),
      "A"
    )
  ),"")</f>
        <v>0.9523809524</v>
      </c>
      <c r="Q10" s="18">
        <f t="array" ref="Q10">IFERROR(
  COUNTIFS(Attendance_data!$B$4:$B$1000,Q$4,
    INDIRECT("Attendance_data!" &amp; ADDRESS(4, MATCH($B10, Attendance_data!$E$3:$BI$3, 0) + 4) &amp; ":" &amp;
             ADDRESS(1000, MATCH($B10, Attendance_data!$E$3:$BI$3, 0) + 4)),
    "P"
  )
  /
  (
    COUNTIFS(
      Attendance_data!$B$4:$B$1000,Q$4,
      INDIRECT("Attendance_data!" &amp; ADDRESS(4, MATCH($B10, Attendance_data!$E$3:$BI$3, 0) + 4) &amp; ":" &amp;
               ADDRESS(1000, MATCH($B10, Attendance_data!$E$3:$BI$3, 0) + 4)),
      "P"
    )
    +
    COUNTIFS(
      Attendance_data!$B$4:$B$1000,Q$4,
      INDIRECT("Attendance_data!" &amp; ADDRESS(4, MATCH($B10, Attendance_data!$E$3:$BI$3, 0) + 4) &amp; ":" &amp;
               ADDRESS(1000, MATCH($B10, Attendance_data!$E$3:$BI$3, 0) + 4)),
      "A"
    )
  ),"")</f>
        <v>0.7307692308</v>
      </c>
      <c r="R10" s="18">
        <f t="array" ref="R10">IFERROR(
  COUNTIFS(Attendance_data!$B$4:$B$1000,R$4,
    INDIRECT("Attendance_data!" &amp; ADDRESS(4, MATCH($B10, Attendance_data!$E$3:$BI$3, 0) + 4) &amp; ":" &amp;
             ADDRESS(1000, MATCH($B10, Attendance_data!$E$3:$BI$3, 0) + 4)),
    "P"
  )
  /
  (
    COUNTIFS(
      Attendance_data!$B$4:$B$1000,R$4,
      INDIRECT("Attendance_data!" &amp; ADDRESS(4, MATCH($B10, Attendance_data!$E$3:$BI$3, 0) + 4) &amp; ":" &amp;
               ADDRESS(1000, MATCH($B10, Attendance_data!$E$3:$BI$3, 0) + 4)),
      "P"
    )
    +
    COUNTIFS(
      Attendance_data!$B$4:$B$1000,R$4,
      INDIRECT("Attendance_data!" &amp; ADDRESS(4, MATCH($B10, Attendance_data!$E$3:$BI$3, 0) + 4) &amp; ":" &amp;
               ADDRESS(1000, MATCH($B10, Attendance_data!$E$3:$BI$3, 0) + 4)),
      "A"
    )
  ),"")</f>
        <v>0.7894736842</v>
      </c>
      <c r="S10" s="18">
        <f t="array" ref="S10">IFERROR(
  COUNTIFS(Attendance_data!$B$4:$B$1000,S$4,
    INDIRECT("Attendance_data!" &amp; ADDRESS(4, MATCH($B10, Attendance_data!$E$3:$BI$3, 0) + 4) &amp; ":" &amp;
             ADDRESS(1000, MATCH($B10, Attendance_data!$E$3:$BI$3, 0) + 4)),
    "P"
  )
  /
  (
    COUNTIFS(
      Attendance_data!$B$4:$B$1000,S$4,
      INDIRECT("Attendance_data!" &amp; ADDRESS(4, MATCH($B10, Attendance_data!$E$3:$BI$3, 0) + 4) &amp; ":" &amp;
               ADDRESS(1000, MATCH($B10, Attendance_data!$E$3:$BI$3, 0) + 4)),
      "P"
    )
    +
    COUNTIFS(
      Attendance_data!$B$4:$B$1000,S$4,
      INDIRECT("Attendance_data!" &amp; ADDRESS(4, MATCH($B10, Attendance_data!$E$3:$BI$3, 0) + 4) &amp; ":" &amp;
               ADDRESS(1000, MATCH($B10, Attendance_data!$E$3:$BI$3, 0) + 4)),
      "A"
    )
  ),"")</f>
        <v>0.7272727273</v>
      </c>
      <c r="T10" s="18">
        <f t="array" ref="T10">IFERROR(
  COUNTIFS(Attendance_data!$B$4:$B$1000,T$4,
    INDIRECT("Attendance_data!" &amp; ADDRESS(4, MATCH($B10, Attendance_data!$E$3:$BI$3, 0) + 4) &amp; ":" &amp;
             ADDRESS(1000, MATCH($B10, Attendance_data!$E$3:$BI$3, 0) + 4)),
    "P"
  )
  /
  (
    COUNTIFS(
      Attendance_data!$B$4:$B$1000,T$4,
      INDIRECT("Attendance_data!" &amp; ADDRESS(4, MATCH($B10, Attendance_data!$E$3:$BI$3, 0) + 4) &amp; ":" &amp;
               ADDRESS(1000, MATCH($B10, Attendance_data!$E$3:$BI$3, 0) + 4)),
      "P"
    )
    +
    COUNTIFS(
      Attendance_data!$B$4:$B$1000,T$4,
      INDIRECT("Attendance_data!" &amp; ADDRESS(4, MATCH($B10, Attendance_data!$E$3:$BI$3, 0) + 4) &amp; ":" &amp;
               ADDRESS(1000, MATCH($B10, Attendance_data!$E$3:$BI$3, 0) + 4)),
      "A"
    )
  ),"")</f>
        <v>0.9</v>
      </c>
      <c r="U10" s="18">
        <f t="array" ref="U10">IFERROR(
  COUNTIFS(Attendance_data!$B$4:$B$1000,U$4,
    INDIRECT("Attendance_data!" &amp; ADDRESS(4, MATCH($B10, Attendance_data!$E$3:$BI$3, 0) + 4) &amp; ":" &amp;
             ADDRESS(1000, MATCH($B10, Attendance_data!$E$3:$BI$3, 0) + 4)),
    "P"
  )
  /
  (
    COUNTIFS(
      Attendance_data!$B$4:$B$1000,U$4,
      INDIRECT("Attendance_data!" &amp; ADDRESS(4, MATCH($B10, Attendance_data!$E$3:$BI$3, 0) + 4) &amp; ":" &amp;
               ADDRESS(1000, MATCH($B10, Attendance_data!$E$3:$BI$3, 0) + 4)),
      "P"
    )
    +
    COUNTIFS(
      Attendance_data!$B$4:$B$1000,U$4,
      INDIRECT("Attendance_data!" &amp; ADDRESS(4, MATCH($B10, Attendance_data!$E$3:$BI$3, 0) + 4) &amp; ":" &amp;
               ADDRESS(1000, MATCH($B10, Attendance_data!$E$3:$BI$3, 0) + 4)),
      "A"
    )
  ),"")</f>
        <v>0.92</v>
      </c>
      <c r="V10" s="18">
        <f t="array" ref="V10">IFERROR(
  COUNTIFS(Attendance_data!$B$4:$B$1000,V$4,
    INDIRECT("Attendance_data!" &amp; ADDRESS(4, MATCH($B10, Attendance_data!$E$3:$BI$3, 0) + 4) &amp; ":" &amp;
             ADDRESS(1000, MATCH($B10, Attendance_data!$E$3:$BI$3, 0) + 4)),
    "P"
  )
  /
  (
    COUNTIFS(
      Attendance_data!$B$4:$B$1000,V$4,
      INDIRECT("Attendance_data!" &amp; ADDRESS(4, MATCH($B10, Attendance_data!$E$3:$BI$3, 0) + 4) &amp; ":" &amp;
               ADDRESS(1000, MATCH($B10, Attendance_data!$E$3:$BI$3, 0) + 4)),
      "P"
    )
    +
    COUNTIFS(
      Attendance_data!$B$4:$B$1000,V$4,
      INDIRECT("Attendance_data!" &amp; ADDRESS(4, MATCH($B10, Attendance_data!$E$3:$BI$3, 0) + 4) &amp; ":" &amp;
               ADDRESS(1000, MATCH($B10, Attendance_data!$E$3:$BI$3, 0) + 4)),
      "A"
    )
  ),"")</f>
        <v>0.84</v>
      </c>
      <c r="W10" s="18">
        <f t="array" ref="W10">IFERROR(
  COUNTIFS(Attendance_data!$B$4:$B$1000,W$4,
    INDIRECT("Attendance_data!" &amp; ADDRESS(4, MATCH($B10, Attendance_data!$E$3:$BI$3, 0) + 4) &amp; ":" &amp;
             ADDRESS(1000, MATCH($B10, Attendance_data!$E$3:$BI$3, 0) + 4)),
    "P"
  )
  /
  (
    COUNTIFS(
      Attendance_data!$B$4:$B$1000,W$4,
      INDIRECT("Attendance_data!" &amp; ADDRESS(4, MATCH($B10, Attendance_data!$E$3:$BI$3, 0) + 4) &amp; ":" &amp;
               ADDRESS(1000, MATCH($B10, Attendance_data!$E$3:$BI$3, 0) + 4)),
      "P"
    )
    +
    COUNTIFS(
      Attendance_data!$B$4:$B$1000,W$4,
      INDIRECT("Attendance_data!" &amp; ADDRESS(4, MATCH($B10, Attendance_data!$E$3:$BI$3, 0) + 4) &amp; ":" &amp;
               ADDRESS(1000, MATCH($B10, Attendance_data!$E$3:$BI$3, 0) + 4)),
      "A"
    )
  ),"")</f>
        <v>0.88</v>
      </c>
      <c r="X10" s="18">
        <f t="array" ref="X10">IFERROR(
  COUNTIFS(Attendance_data!$B$4:$B$1000,X$4,
    INDIRECT("Attendance_data!" &amp; ADDRESS(4, MATCH($B10, Attendance_data!$E$3:$BI$3, 0) + 4) &amp; ":" &amp;
             ADDRESS(1000, MATCH($B10, Attendance_data!$E$3:$BI$3, 0) + 4)),
    "P"
  )
  /
  (
    COUNTIFS(
      Attendance_data!$B$4:$B$1000,X$4,
      INDIRECT("Attendance_data!" &amp; ADDRESS(4, MATCH($B10, Attendance_data!$E$3:$BI$3, 0) + 4) &amp; ":" &amp;
               ADDRESS(1000, MATCH($B10, Attendance_data!$E$3:$BI$3, 0) + 4)),
      "P"
    )
    +
    COUNTIFS(
      Attendance_data!$B$4:$B$1000,X$4,
      INDIRECT("Attendance_data!" &amp; ADDRESS(4, MATCH($B10, Attendance_data!$E$3:$BI$3, 0) + 4) &amp; ":" &amp;
               ADDRESS(1000, MATCH($B10, Attendance_data!$E$3:$BI$3, 0) + 4)),
      "A"
    )
  ),"")</f>
        <v>0.8571428571</v>
      </c>
      <c r="Y10" s="18">
        <f t="array" ref="Y10">IFERROR(
  COUNTIFS(Attendance_data!$B$4:$B$1000,Y$4,
    INDIRECT("Attendance_data!" &amp; ADDRESS(4, MATCH($B10, Attendance_data!$E$3:$BI$3, 0) + 4) &amp; ":" &amp;
             ADDRESS(1000, MATCH($B10, Attendance_data!$E$3:$BI$3, 0) + 4)),
    "P"
  )
  /
  (
    COUNTIFS(
      Attendance_data!$B$4:$B$1000,Y$4,
      INDIRECT("Attendance_data!" &amp; ADDRESS(4, MATCH($B10, Attendance_data!$E$3:$BI$3, 0) + 4) &amp; ":" &amp;
               ADDRESS(1000, MATCH($B10, Attendance_data!$E$3:$BI$3, 0) + 4)),
      "P"
    )
    +
    COUNTIFS(
      Attendance_data!$B$4:$B$1000,Y$4,
      INDIRECT("Attendance_data!" &amp; ADDRESS(4, MATCH($B10, Attendance_data!$E$3:$BI$3, 0) + 4) &amp; ":" &amp;
               ADDRESS(1000, MATCH($B10, Attendance_data!$E$3:$BI$3, 0) + 4)),
      "A"
    )
  ),"")</f>
        <v>1</v>
      </c>
      <c r="Z10" s="18">
        <f t="array" ref="Z10">IFERROR(
  COUNTIFS(Attendance_data!$B$4:$B$1000,Z$4,
    INDIRECT("Attendance_data!" &amp; ADDRESS(4, MATCH($B10, Attendance_data!$E$3:$BI$3, 0) + 4) &amp; ":" &amp;
             ADDRESS(1000, MATCH($B10, Attendance_data!$E$3:$BI$3, 0) + 4)),
    "P"
  )
  /
  (
    COUNTIFS(
      Attendance_data!$B$4:$B$1000,Z$4,
      INDIRECT("Attendance_data!" &amp; ADDRESS(4, MATCH($B10, Attendance_data!$E$3:$BI$3, 0) + 4) &amp; ":" &amp;
               ADDRESS(1000, MATCH($B10, Attendance_data!$E$3:$BI$3, 0) + 4)),
      "P"
    )
    +
    COUNTIFS(
      Attendance_data!$B$4:$B$1000,Z$4,
      INDIRECT("Attendance_data!" &amp; ADDRESS(4, MATCH($B10, Attendance_data!$E$3:$BI$3, 0) + 4) &amp; ":" &amp;
               ADDRESS(1000, MATCH($B10, Attendance_data!$E$3:$BI$3, 0) + 4)),
      "A"
    )
  ),"")</f>
        <v>0.5555555556</v>
      </c>
      <c r="AA10" s="18" t="str">
        <f t="array" ref="AA10">IFERROR(
  COUNTIFS(Attendance_data!$B$4:$B$1000,AA$4,
    INDIRECT("Attendance_data!" &amp; ADDRESS(4, MATCH($B10, Attendance_data!$E$3:$BI$3, 0) + 4) &amp; ":" &amp;
             ADDRESS(1000, MATCH($B10, Attendance_data!$E$3:$BI$3, 0) + 4)),
    "P"
  )
  /
  (
    COUNTIFS(
      Attendance_data!$B$4:$B$1000,AA$4,
      INDIRECT("Attendance_data!" &amp; ADDRESS(4, MATCH($B10, Attendance_data!$E$3:$BI$3, 0) + 4) &amp; ":" &amp;
               ADDRESS(1000, MATCH($B10, Attendance_data!$E$3:$BI$3, 0) + 4)),
      "P"
    )
    +
    COUNTIFS(
      Attendance_data!$B$4:$B$1000,AA$4,
      INDIRECT("Attendance_data!" &amp; ADDRESS(4, MATCH($B10, Attendance_data!$E$3:$BI$3, 0) + 4) &amp; ":" &amp;
               ADDRESS(1000, MATCH($B10, Attendance_data!$E$3:$BI$3, 0) + 4)),
      "A"
    )
  ),"")</f>
        <v/>
      </c>
      <c r="AB10" s="19">
        <f t="shared" si="3"/>
        <v>0.8320540916</v>
      </c>
      <c r="AC10" s="1"/>
      <c r="AD10" s="1"/>
      <c r="AE10" s="1"/>
      <c r="AF10" s="1"/>
      <c r="AG10" s="1"/>
      <c r="AH10" s="1"/>
    </row>
    <row r="11">
      <c r="A11" s="14">
        <f t="shared" si="2"/>
        <v>7</v>
      </c>
      <c r="B11" s="15" t="s">
        <v>43</v>
      </c>
      <c r="C11" s="15" t="s">
        <v>44</v>
      </c>
      <c r="D11" s="15" t="s">
        <v>30</v>
      </c>
      <c r="E11" s="15" t="s">
        <v>38</v>
      </c>
      <c r="F11" s="15">
        <v>8.850444041E9</v>
      </c>
      <c r="G11" s="15" t="s">
        <v>27</v>
      </c>
      <c r="H11" s="15">
        <v>2021.0</v>
      </c>
      <c r="I11" s="16" t="s">
        <v>23</v>
      </c>
      <c r="J11" s="17">
        <v>23.0</v>
      </c>
      <c r="K11" s="17">
        <v>28.0</v>
      </c>
      <c r="L11" s="17">
        <v>27.0</v>
      </c>
      <c r="M11" s="17">
        <v>25.0</v>
      </c>
      <c r="N11" s="17">
        <v>12.0</v>
      </c>
      <c r="O11" s="17">
        <v>20.0</v>
      </c>
      <c r="P11" s="18">
        <f t="array" ref="P11">IFERROR(
  COUNTIFS(Attendance_data!$B$4:$B$1000,P$4,
    INDIRECT("Attendance_data!" &amp; ADDRESS(4, MATCH($B11, Attendance_data!$E$3:$BI$3, 0) + 4) &amp; ":" &amp;
             ADDRESS(1000, MATCH($B11, Attendance_data!$E$3:$BI$3, 0) + 4)),
    "P"
  )
  /
  (
    COUNTIFS(
      Attendance_data!$B$4:$B$1000,P$4,
      INDIRECT("Attendance_data!" &amp; ADDRESS(4, MATCH($B11, Attendance_data!$E$3:$BI$3, 0) + 4) &amp; ":" &amp;
               ADDRESS(1000, MATCH($B11, Attendance_data!$E$3:$BI$3, 0) + 4)),
      "P"
    )
    +
    COUNTIFS(
      Attendance_data!$B$4:$B$1000,P$4,
      INDIRECT("Attendance_data!" &amp; ADDRESS(4, MATCH($B11, Attendance_data!$E$3:$BI$3, 0) + 4) &amp; ":" &amp;
               ADDRESS(1000, MATCH($B11, Attendance_data!$E$3:$BI$3, 0) + 4)),
      "A"
    )
  ),"")</f>
        <v>1</v>
      </c>
      <c r="Q11" s="18">
        <f t="array" ref="Q11">IFERROR(
  COUNTIFS(Attendance_data!$B$4:$B$1000,Q$4,
    INDIRECT("Attendance_data!" &amp; ADDRESS(4, MATCH($B11, Attendance_data!$E$3:$BI$3, 0) + 4) &amp; ":" &amp;
             ADDRESS(1000, MATCH($B11, Attendance_data!$E$3:$BI$3, 0) + 4)),
    "P"
  )
  /
  (
    COUNTIFS(
      Attendance_data!$B$4:$B$1000,Q$4,
      INDIRECT("Attendance_data!" &amp; ADDRESS(4, MATCH($B11, Attendance_data!$E$3:$BI$3, 0) + 4) &amp; ":" &amp;
               ADDRESS(1000, MATCH($B11, Attendance_data!$E$3:$BI$3, 0) + 4)),
      "P"
    )
    +
    COUNTIFS(
      Attendance_data!$B$4:$B$1000,Q$4,
      INDIRECT("Attendance_data!" &amp; ADDRESS(4, MATCH($B11, Attendance_data!$E$3:$BI$3, 0) + 4) &amp; ":" &amp;
               ADDRESS(1000, MATCH($B11, Attendance_data!$E$3:$BI$3, 0) + 4)),
      "A"
    )
  ),"")</f>
        <v>0.8461538462</v>
      </c>
      <c r="R11" s="18">
        <f t="array" ref="R11">IFERROR(
  COUNTIFS(Attendance_data!$B$4:$B$1000,R$4,
    INDIRECT("Attendance_data!" &amp; ADDRESS(4, MATCH($B11, Attendance_data!$E$3:$BI$3, 0) + 4) &amp; ":" &amp;
             ADDRESS(1000, MATCH($B11, Attendance_data!$E$3:$BI$3, 0) + 4)),
    "P"
  )
  /
  (
    COUNTIFS(
      Attendance_data!$B$4:$B$1000,R$4,
      INDIRECT("Attendance_data!" &amp; ADDRESS(4, MATCH($B11, Attendance_data!$E$3:$BI$3, 0) + 4) &amp; ":" &amp;
               ADDRESS(1000, MATCH($B11, Attendance_data!$E$3:$BI$3, 0) + 4)),
      "P"
    )
    +
    COUNTIFS(
      Attendance_data!$B$4:$B$1000,R$4,
      INDIRECT("Attendance_data!" &amp; ADDRESS(4, MATCH($B11, Attendance_data!$E$3:$BI$3, 0) + 4) &amp; ":" &amp;
               ADDRESS(1000, MATCH($B11, Attendance_data!$E$3:$BI$3, 0) + 4)),
      "A"
    )
  ),"")</f>
        <v>1</v>
      </c>
      <c r="S11" s="18">
        <f t="array" ref="S11">IFERROR(
  COUNTIFS(Attendance_data!$B$4:$B$1000,S$4,
    INDIRECT("Attendance_data!" &amp; ADDRESS(4, MATCH($B11, Attendance_data!$E$3:$BI$3, 0) + 4) &amp; ":" &amp;
             ADDRESS(1000, MATCH($B11, Attendance_data!$E$3:$BI$3, 0) + 4)),
    "P"
  )
  /
  (
    COUNTIFS(
      Attendance_data!$B$4:$B$1000,S$4,
      INDIRECT("Attendance_data!" &amp; ADDRESS(4, MATCH($B11, Attendance_data!$E$3:$BI$3, 0) + 4) &amp; ":" &amp;
               ADDRESS(1000, MATCH($B11, Attendance_data!$E$3:$BI$3, 0) + 4)),
      "P"
    )
    +
    COUNTIFS(
      Attendance_data!$B$4:$B$1000,S$4,
      INDIRECT("Attendance_data!" &amp; ADDRESS(4, MATCH($B11, Attendance_data!$E$3:$BI$3, 0) + 4) &amp; ":" &amp;
               ADDRESS(1000, MATCH($B11, Attendance_data!$E$3:$BI$3, 0) + 4)),
      "A"
    )
  ),"")</f>
        <v>1</v>
      </c>
      <c r="T11" s="18">
        <f t="array" ref="T11">IFERROR(
  COUNTIFS(Attendance_data!$B$4:$B$1000,T$4,
    INDIRECT("Attendance_data!" &amp; ADDRESS(4, MATCH($B11, Attendance_data!$E$3:$BI$3, 0) + 4) &amp; ":" &amp;
             ADDRESS(1000, MATCH($B11, Attendance_data!$E$3:$BI$3, 0) + 4)),
    "P"
  )
  /
  (
    COUNTIFS(
      Attendance_data!$B$4:$B$1000,T$4,
      INDIRECT("Attendance_data!" &amp; ADDRESS(4, MATCH($B11, Attendance_data!$E$3:$BI$3, 0) + 4) &amp; ":" &amp;
               ADDRESS(1000, MATCH($B11, Attendance_data!$E$3:$BI$3, 0) + 4)),
      "P"
    )
    +
    COUNTIFS(
      Attendance_data!$B$4:$B$1000,T$4,
      INDIRECT("Attendance_data!" &amp; ADDRESS(4, MATCH($B11, Attendance_data!$E$3:$BI$3, 0) + 4) &amp; ":" &amp;
               ADDRESS(1000, MATCH($B11, Attendance_data!$E$3:$BI$3, 0) + 4)),
      "A"
    )
  ),"")</f>
        <v>1</v>
      </c>
      <c r="U11" s="18">
        <f t="array" ref="U11">IFERROR(
  COUNTIFS(Attendance_data!$B$4:$B$1000,U$4,
    INDIRECT("Attendance_data!" &amp; ADDRESS(4, MATCH($B11, Attendance_data!$E$3:$BI$3, 0) + 4) &amp; ":" &amp;
             ADDRESS(1000, MATCH($B11, Attendance_data!$E$3:$BI$3, 0) + 4)),
    "P"
  )
  /
  (
    COUNTIFS(
      Attendance_data!$B$4:$B$1000,U$4,
      INDIRECT("Attendance_data!" &amp; ADDRESS(4, MATCH($B11, Attendance_data!$E$3:$BI$3, 0) + 4) &amp; ":" &amp;
               ADDRESS(1000, MATCH($B11, Attendance_data!$E$3:$BI$3, 0) + 4)),
      "P"
    )
    +
    COUNTIFS(
      Attendance_data!$B$4:$B$1000,U$4,
      INDIRECT("Attendance_data!" &amp; ADDRESS(4, MATCH($B11, Attendance_data!$E$3:$BI$3, 0) + 4) &amp; ":" &amp;
               ADDRESS(1000, MATCH($B11, Attendance_data!$E$3:$BI$3, 0) + 4)),
      "A"
    )
  ),"")</f>
        <v>0.96</v>
      </c>
      <c r="V11" s="18">
        <f t="array" ref="V11">IFERROR(
  COUNTIFS(Attendance_data!$B$4:$B$1000,V$4,
    INDIRECT("Attendance_data!" &amp; ADDRESS(4, MATCH($B11, Attendance_data!$E$3:$BI$3, 0) + 4) &amp; ":" &amp;
             ADDRESS(1000, MATCH($B11, Attendance_data!$E$3:$BI$3, 0) + 4)),
    "P"
  )
  /
  (
    COUNTIFS(
      Attendance_data!$B$4:$B$1000,V$4,
      INDIRECT("Attendance_data!" &amp; ADDRESS(4, MATCH($B11, Attendance_data!$E$3:$BI$3, 0) + 4) &amp; ":" &amp;
               ADDRESS(1000, MATCH($B11, Attendance_data!$E$3:$BI$3, 0) + 4)),
      "P"
    )
    +
    COUNTIFS(
      Attendance_data!$B$4:$B$1000,V$4,
      INDIRECT("Attendance_data!" &amp; ADDRESS(4, MATCH($B11, Attendance_data!$E$3:$BI$3, 0) + 4) &amp; ":" &amp;
               ADDRESS(1000, MATCH($B11, Attendance_data!$E$3:$BI$3, 0) + 4)),
      "A"
    )
  ),"")</f>
        <v>0.96</v>
      </c>
      <c r="W11" s="18">
        <f t="array" ref="W11">IFERROR(
  COUNTIFS(Attendance_data!$B$4:$B$1000,W$4,
    INDIRECT("Attendance_data!" &amp; ADDRESS(4, MATCH($B11, Attendance_data!$E$3:$BI$3, 0) + 4) &amp; ":" &amp;
             ADDRESS(1000, MATCH($B11, Attendance_data!$E$3:$BI$3, 0) + 4)),
    "P"
  )
  /
  (
    COUNTIFS(
      Attendance_data!$B$4:$B$1000,W$4,
      INDIRECT("Attendance_data!" &amp; ADDRESS(4, MATCH($B11, Attendance_data!$E$3:$BI$3, 0) + 4) &amp; ":" &amp;
               ADDRESS(1000, MATCH($B11, Attendance_data!$E$3:$BI$3, 0) + 4)),
      "P"
    )
    +
    COUNTIFS(
      Attendance_data!$B$4:$B$1000,W$4,
      INDIRECT("Attendance_data!" &amp; ADDRESS(4, MATCH($B11, Attendance_data!$E$3:$BI$3, 0) + 4) &amp; ":" &amp;
               ADDRESS(1000, MATCH($B11, Attendance_data!$E$3:$BI$3, 0) + 4)),
      "A"
    )
  ),"")</f>
        <v>1</v>
      </c>
      <c r="X11" s="18">
        <f t="array" ref="X11">IFERROR(
  COUNTIFS(Attendance_data!$B$4:$B$1000,X$4,
    INDIRECT("Attendance_data!" &amp; ADDRESS(4, MATCH($B11, Attendance_data!$E$3:$BI$3, 0) + 4) &amp; ":" &amp;
             ADDRESS(1000, MATCH($B11, Attendance_data!$E$3:$BI$3, 0) + 4)),
    "P"
  )
  /
  (
    COUNTIFS(
      Attendance_data!$B$4:$B$1000,X$4,
      INDIRECT("Attendance_data!" &amp; ADDRESS(4, MATCH($B11, Attendance_data!$E$3:$BI$3, 0) + 4) &amp; ":" &amp;
               ADDRESS(1000, MATCH($B11, Attendance_data!$E$3:$BI$3, 0) + 4)),
      "P"
    )
    +
    COUNTIFS(
      Attendance_data!$B$4:$B$1000,X$4,
      INDIRECT("Attendance_data!" &amp; ADDRESS(4, MATCH($B11, Attendance_data!$E$3:$BI$3, 0) + 4) &amp; ":" &amp;
               ADDRESS(1000, MATCH($B11, Attendance_data!$E$3:$BI$3, 0) + 4)),
      "A"
    )
  ),"")</f>
        <v>1</v>
      </c>
      <c r="Y11" s="18">
        <f t="array" ref="Y11">IFERROR(
  COUNTIFS(Attendance_data!$B$4:$B$1000,Y$4,
    INDIRECT("Attendance_data!" &amp; ADDRESS(4, MATCH($B11, Attendance_data!$E$3:$BI$3, 0) + 4) &amp; ":" &amp;
             ADDRESS(1000, MATCH($B11, Attendance_data!$E$3:$BI$3, 0) + 4)),
    "P"
  )
  /
  (
    COUNTIFS(
      Attendance_data!$B$4:$B$1000,Y$4,
      INDIRECT("Attendance_data!" &amp; ADDRESS(4, MATCH($B11, Attendance_data!$E$3:$BI$3, 0) + 4) &amp; ":" &amp;
               ADDRESS(1000, MATCH($B11, Attendance_data!$E$3:$BI$3, 0) + 4)),
      "P"
    )
    +
    COUNTIFS(
      Attendance_data!$B$4:$B$1000,Y$4,
      INDIRECT("Attendance_data!" &amp; ADDRESS(4, MATCH($B11, Attendance_data!$E$3:$BI$3, 0) + 4) &amp; ":" &amp;
               ADDRESS(1000, MATCH($B11, Attendance_data!$E$3:$BI$3, 0) + 4)),
      "A"
    )
  ),"")</f>
        <v>1</v>
      </c>
      <c r="Z11" s="18">
        <f t="array" ref="Z11">IFERROR(
  COUNTIFS(Attendance_data!$B$4:$B$1000,Z$4,
    INDIRECT("Attendance_data!" &amp; ADDRESS(4, MATCH($B11, Attendance_data!$E$3:$BI$3, 0) + 4) &amp; ":" &amp;
             ADDRESS(1000, MATCH($B11, Attendance_data!$E$3:$BI$3, 0) + 4)),
    "P"
  )
  /
  (
    COUNTIFS(
      Attendance_data!$B$4:$B$1000,Z$4,
      INDIRECT("Attendance_data!" &amp; ADDRESS(4, MATCH($B11, Attendance_data!$E$3:$BI$3, 0) + 4) &amp; ":" &amp;
               ADDRESS(1000, MATCH($B11, Attendance_data!$E$3:$BI$3, 0) + 4)),
      "P"
    )
    +
    COUNTIFS(
      Attendance_data!$B$4:$B$1000,Z$4,
      INDIRECT("Attendance_data!" &amp; ADDRESS(4, MATCH($B11, Attendance_data!$E$3:$BI$3, 0) + 4) &amp; ":" &amp;
               ADDRESS(1000, MATCH($B11, Attendance_data!$E$3:$BI$3, 0) + 4)),
      "A"
    )
  ),"")</f>
        <v>1</v>
      </c>
      <c r="AA11" s="18" t="str">
        <f t="array" ref="AA11">IFERROR(
  COUNTIFS(Attendance_data!$B$4:$B$1000,AA$4,
    INDIRECT("Attendance_data!" &amp; ADDRESS(4, MATCH($B11, Attendance_data!$E$3:$BI$3, 0) + 4) &amp; ":" &amp;
             ADDRESS(1000, MATCH($B11, Attendance_data!$E$3:$BI$3, 0) + 4)),
    "P"
  )
  /
  (
    COUNTIFS(
      Attendance_data!$B$4:$B$1000,AA$4,
      INDIRECT("Attendance_data!" &amp; ADDRESS(4, MATCH($B11, Attendance_data!$E$3:$BI$3, 0) + 4) &amp; ":" &amp;
               ADDRESS(1000, MATCH($B11, Attendance_data!$E$3:$BI$3, 0) + 4)),
      "P"
    )
    +
    COUNTIFS(
      Attendance_data!$B$4:$B$1000,AA$4,
      INDIRECT("Attendance_data!" &amp; ADDRESS(4, MATCH($B11, Attendance_data!$E$3:$BI$3, 0) + 4) &amp; ":" &amp;
               ADDRESS(1000, MATCH($B11, Attendance_data!$E$3:$BI$3, 0) + 4)),
      "A"
    )
  ),"")</f>
        <v/>
      </c>
      <c r="AB11" s="19">
        <f t="shared" si="3"/>
        <v>0.9787412587</v>
      </c>
      <c r="AC11" s="1"/>
      <c r="AD11" s="1"/>
      <c r="AE11" s="1"/>
      <c r="AF11" s="1"/>
      <c r="AG11" s="1"/>
      <c r="AH11" s="1"/>
    </row>
    <row r="12">
      <c r="A12" s="14">
        <f t="shared" si="2"/>
        <v>8</v>
      </c>
      <c r="B12" s="15" t="s">
        <v>45</v>
      </c>
      <c r="C12" s="15" t="s">
        <v>46</v>
      </c>
      <c r="D12" s="15" t="s">
        <v>30</v>
      </c>
      <c r="E12" s="15" t="s">
        <v>21</v>
      </c>
      <c r="F12" s="15">
        <v>9.619701755E9</v>
      </c>
      <c r="G12" s="15" t="s">
        <v>47</v>
      </c>
      <c r="H12" s="15">
        <v>2019.0</v>
      </c>
      <c r="I12" s="16" t="s">
        <v>23</v>
      </c>
      <c r="J12" s="17">
        <v>28.0</v>
      </c>
      <c r="K12" s="17">
        <v>28.0</v>
      </c>
      <c r="L12" s="17">
        <v>30.0</v>
      </c>
      <c r="M12" s="17">
        <v>27.0</v>
      </c>
      <c r="N12" s="17">
        <v>30.0</v>
      </c>
      <c r="O12" s="17" t="s">
        <v>32</v>
      </c>
      <c r="P12" s="18">
        <f t="array" ref="P12">IFERROR(
  COUNTIFS(Attendance_data!$B$4:$B$1000,P$4,
    INDIRECT("Attendance_data!" &amp; ADDRESS(4, MATCH($B12, Attendance_data!$E$3:$BI$3, 0) + 4) &amp; ":" &amp;
             ADDRESS(1000, MATCH($B12, Attendance_data!$E$3:$BI$3, 0) + 4)),
    "P"
  )
  /
  (
    COUNTIFS(
      Attendance_data!$B$4:$B$1000,P$4,
      INDIRECT("Attendance_data!" &amp; ADDRESS(4, MATCH($B12, Attendance_data!$E$3:$BI$3, 0) + 4) &amp; ":" &amp;
               ADDRESS(1000, MATCH($B12, Attendance_data!$E$3:$BI$3, 0) + 4)),
      "P"
    )
    +
    COUNTIFS(
      Attendance_data!$B$4:$B$1000,P$4,
      INDIRECT("Attendance_data!" &amp; ADDRESS(4, MATCH($B12, Attendance_data!$E$3:$BI$3, 0) + 4) &amp; ":" &amp;
               ADDRESS(1000, MATCH($B12, Attendance_data!$E$3:$BI$3, 0) + 4)),
      "A"
    )
  ),"")</f>
        <v>0.9523809524</v>
      </c>
      <c r="Q12" s="18">
        <f t="array" ref="Q12">IFERROR(
  COUNTIFS(Attendance_data!$B$4:$B$1000,Q$4,
    INDIRECT("Attendance_data!" &amp; ADDRESS(4, MATCH($B12, Attendance_data!$E$3:$BI$3, 0) + 4) &amp; ":" &amp;
             ADDRESS(1000, MATCH($B12, Attendance_data!$E$3:$BI$3, 0) + 4)),
    "P"
  )
  /
  (
    COUNTIFS(
      Attendance_data!$B$4:$B$1000,Q$4,
      INDIRECT("Attendance_data!" &amp; ADDRESS(4, MATCH($B12, Attendance_data!$E$3:$BI$3, 0) + 4) &amp; ":" &amp;
               ADDRESS(1000, MATCH($B12, Attendance_data!$E$3:$BI$3, 0) + 4)),
      "P"
    )
    +
    COUNTIFS(
      Attendance_data!$B$4:$B$1000,Q$4,
      INDIRECT("Attendance_data!" &amp; ADDRESS(4, MATCH($B12, Attendance_data!$E$3:$BI$3, 0) + 4) &amp; ":" &amp;
               ADDRESS(1000, MATCH($B12, Attendance_data!$E$3:$BI$3, 0) + 4)),
      "A"
    )
  ),"")</f>
        <v>0.8461538462</v>
      </c>
      <c r="R12" s="18">
        <f t="array" ref="R12">IFERROR(
  COUNTIFS(Attendance_data!$B$4:$B$1000,R$4,
    INDIRECT("Attendance_data!" &amp; ADDRESS(4, MATCH($B12, Attendance_data!$E$3:$BI$3, 0) + 4) &amp; ":" &amp;
             ADDRESS(1000, MATCH($B12, Attendance_data!$E$3:$BI$3, 0) + 4)),
    "P"
  )
  /
  (
    COUNTIFS(
      Attendance_data!$B$4:$B$1000,R$4,
      INDIRECT("Attendance_data!" &amp; ADDRESS(4, MATCH($B12, Attendance_data!$E$3:$BI$3, 0) + 4) &amp; ":" &amp;
               ADDRESS(1000, MATCH($B12, Attendance_data!$E$3:$BI$3, 0) + 4)),
      "P"
    )
    +
    COUNTIFS(
      Attendance_data!$B$4:$B$1000,R$4,
      INDIRECT("Attendance_data!" &amp; ADDRESS(4, MATCH($B12, Attendance_data!$E$3:$BI$3, 0) + 4) &amp; ":" &amp;
               ADDRESS(1000, MATCH($B12, Attendance_data!$E$3:$BI$3, 0) + 4)),
      "A"
    )
  ),"")</f>
        <v>0.9473684211</v>
      </c>
      <c r="S12" s="18">
        <f t="array" ref="S12">IFERROR(
  COUNTIFS(Attendance_data!$B$4:$B$1000,S$4,
    INDIRECT("Attendance_data!" &amp; ADDRESS(4, MATCH($B12, Attendance_data!$E$3:$BI$3, 0) + 4) &amp; ":" &amp;
             ADDRESS(1000, MATCH($B12, Attendance_data!$E$3:$BI$3, 0) + 4)),
    "P"
  )
  /
  (
    COUNTIFS(
      Attendance_data!$B$4:$B$1000,S$4,
      INDIRECT("Attendance_data!" &amp; ADDRESS(4, MATCH($B12, Attendance_data!$E$3:$BI$3, 0) + 4) &amp; ":" &amp;
               ADDRESS(1000, MATCH($B12, Attendance_data!$E$3:$BI$3, 0) + 4)),
      "P"
    )
    +
    COUNTIFS(
      Attendance_data!$B$4:$B$1000,S$4,
      INDIRECT("Attendance_data!" &amp; ADDRESS(4, MATCH($B12, Attendance_data!$E$3:$BI$3, 0) + 4) &amp; ":" &amp;
               ADDRESS(1000, MATCH($B12, Attendance_data!$E$3:$BI$3, 0) + 4)),
      "A"
    )
  ),"")</f>
        <v>0.7727272727</v>
      </c>
      <c r="T12" s="18">
        <f t="array" ref="T12">IFERROR(
  COUNTIFS(Attendance_data!$B$4:$B$1000,T$4,
    INDIRECT("Attendance_data!" &amp; ADDRESS(4, MATCH($B12, Attendance_data!$E$3:$BI$3, 0) + 4) &amp; ":" &amp;
             ADDRESS(1000, MATCH($B12, Attendance_data!$E$3:$BI$3, 0) + 4)),
    "P"
  )
  /
  (
    COUNTIFS(
      Attendance_data!$B$4:$B$1000,T$4,
      INDIRECT("Attendance_data!" &amp; ADDRESS(4, MATCH($B12, Attendance_data!$E$3:$BI$3, 0) + 4) &amp; ":" &amp;
               ADDRESS(1000, MATCH($B12, Attendance_data!$E$3:$BI$3, 0) + 4)),
      "P"
    )
    +
    COUNTIFS(
      Attendance_data!$B$4:$B$1000,T$4,
      INDIRECT("Attendance_data!" &amp; ADDRESS(4, MATCH($B12, Attendance_data!$E$3:$BI$3, 0) + 4) &amp; ":" &amp;
               ADDRESS(1000, MATCH($B12, Attendance_data!$E$3:$BI$3, 0) + 4)),
      "A"
    )
  ),"")</f>
        <v>0.8</v>
      </c>
      <c r="U12" s="18">
        <f t="array" ref="U12">IFERROR(
  COUNTIFS(Attendance_data!$B$4:$B$1000,U$4,
    INDIRECT("Attendance_data!" &amp; ADDRESS(4, MATCH($B12, Attendance_data!$E$3:$BI$3, 0) + 4) &amp; ":" &amp;
             ADDRESS(1000, MATCH($B12, Attendance_data!$E$3:$BI$3, 0) + 4)),
    "P"
  )
  /
  (
    COUNTIFS(
      Attendance_data!$B$4:$B$1000,U$4,
      INDIRECT("Attendance_data!" &amp; ADDRESS(4, MATCH($B12, Attendance_data!$E$3:$BI$3, 0) + 4) &amp; ":" &amp;
               ADDRESS(1000, MATCH($B12, Attendance_data!$E$3:$BI$3, 0) + 4)),
      "P"
    )
    +
    COUNTIFS(
      Attendance_data!$B$4:$B$1000,U$4,
      INDIRECT("Attendance_data!" &amp; ADDRESS(4, MATCH($B12, Attendance_data!$E$3:$BI$3, 0) + 4) &amp; ":" &amp;
               ADDRESS(1000, MATCH($B12, Attendance_data!$E$3:$BI$3, 0) + 4)),
      "A"
    )
  ),"")</f>
        <v>0.44</v>
      </c>
      <c r="V12" s="18">
        <f t="array" ref="V12">IFERROR(
  COUNTIFS(Attendance_data!$B$4:$B$1000,V$4,
    INDIRECT("Attendance_data!" &amp; ADDRESS(4, MATCH($B12, Attendance_data!$E$3:$BI$3, 0) + 4) &amp; ":" &amp;
             ADDRESS(1000, MATCH($B12, Attendance_data!$E$3:$BI$3, 0) + 4)),
    "P"
  )
  /
  (
    COUNTIFS(
      Attendance_data!$B$4:$B$1000,V$4,
      INDIRECT("Attendance_data!" &amp; ADDRESS(4, MATCH($B12, Attendance_data!$E$3:$BI$3, 0) + 4) &amp; ":" &amp;
               ADDRESS(1000, MATCH($B12, Attendance_data!$E$3:$BI$3, 0) + 4)),
      "P"
    )
    +
    COUNTIFS(
      Attendance_data!$B$4:$B$1000,V$4,
      INDIRECT("Attendance_data!" &amp; ADDRESS(4, MATCH($B12, Attendance_data!$E$3:$BI$3, 0) + 4) &amp; ":" &amp;
               ADDRESS(1000, MATCH($B12, Attendance_data!$E$3:$BI$3, 0) + 4)),
      "A"
    )
  ),"")</f>
        <v>0.6</v>
      </c>
      <c r="W12" s="18">
        <f t="array" ref="W12">IFERROR(
  COUNTIFS(Attendance_data!$B$4:$B$1000,W$4,
    INDIRECT("Attendance_data!" &amp; ADDRESS(4, MATCH($B12, Attendance_data!$E$3:$BI$3, 0) + 4) &amp; ":" &amp;
             ADDRESS(1000, MATCH($B12, Attendance_data!$E$3:$BI$3, 0) + 4)),
    "P"
  )
  /
  (
    COUNTIFS(
      Attendance_data!$B$4:$B$1000,W$4,
      INDIRECT("Attendance_data!" &amp; ADDRESS(4, MATCH($B12, Attendance_data!$E$3:$BI$3, 0) + 4) &amp; ":" &amp;
               ADDRESS(1000, MATCH($B12, Attendance_data!$E$3:$BI$3, 0) + 4)),
      "P"
    )
    +
    COUNTIFS(
      Attendance_data!$B$4:$B$1000,W$4,
      INDIRECT("Attendance_data!" &amp; ADDRESS(4, MATCH($B12, Attendance_data!$E$3:$BI$3, 0) + 4) &amp; ":" &amp;
               ADDRESS(1000, MATCH($B12, Attendance_data!$E$3:$BI$3, 0) + 4)),
      "A"
    )
  ),"")</f>
        <v>1</v>
      </c>
      <c r="X12" s="18">
        <f t="array" ref="X12">IFERROR(
  COUNTIFS(Attendance_data!$B$4:$B$1000,X$4,
    INDIRECT("Attendance_data!" &amp; ADDRESS(4, MATCH($B12, Attendance_data!$E$3:$BI$3, 0) + 4) &amp; ":" &amp;
             ADDRESS(1000, MATCH($B12, Attendance_data!$E$3:$BI$3, 0) + 4)),
    "P"
  )
  /
  (
    COUNTIFS(
      Attendance_data!$B$4:$B$1000,X$4,
      INDIRECT("Attendance_data!" &amp; ADDRESS(4, MATCH($B12, Attendance_data!$E$3:$BI$3, 0) + 4) &amp; ":" &amp;
               ADDRESS(1000, MATCH($B12, Attendance_data!$E$3:$BI$3, 0) + 4)),
      "P"
    )
    +
    COUNTIFS(
      Attendance_data!$B$4:$B$1000,X$4,
      INDIRECT("Attendance_data!" &amp; ADDRESS(4, MATCH($B12, Attendance_data!$E$3:$BI$3, 0) + 4) &amp; ":" &amp;
               ADDRESS(1000, MATCH($B12, Attendance_data!$E$3:$BI$3, 0) + 4)),
      "A"
    )
  ),"")</f>
        <v>0.8571428571</v>
      </c>
      <c r="Y12" s="18">
        <f t="array" ref="Y12">IFERROR(
  COUNTIFS(Attendance_data!$B$4:$B$1000,Y$4,
    INDIRECT("Attendance_data!" &amp; ADDRESS(4, MATCH($B12, Attendance_data!$E$3:$BI$3, 0) + 4) &amp; ":" &amp;
             ADDRESS(1000, MATCH($B12, Attendance_data!$E$3:$BI$3, 0) + 4)),
    "P"
  )
  /
  (
    COUNTIFS(
      Attendance_data!$B$4:$B$1000,Y$4,
      INDIRECT("Attendance_data!" &amp; ADDRESS(4, MATCH($B12, Attendance_data!$E$3:$BI$3, 0) + 4) &amp; ":" &amp;
               ADDRESS(1000, MATCH($B12, Attendance_data!$E$3:$BI$3, 0) + 4)),
      "P"
    )
    +
    COUNTIFS(
      Attendance_data!$B$4:$B$1000,Y$4,
      INDIRECT("Attendance_data!" &amp; ADDRESS(4, MATCH($B12, Attendance_data!$E$3:$BI$3, 0) + 4) &amp; ":" &amp;
               ADDRESS(1000, MATCH($B12, Attendance_data!$E$3:$BI$3, 0) + 4)),
      "A"
    )
  ),"")</f>
        <v>0.7083333333</v>
      </c>
      <c r="Z12" s="18">
        <f t="array" ref="Z12">IFERROR(
  COUNTIFS(Attendance_data!$B$4:$B$1000,Z$4,
    INDIRECT("Attendance_data!" &amp; ADDRESS(4, MATCH($B12, Attendance_data!$E$3:$BI$3, 0) + 4) &amp; ":" &amp;
             ADDRESS(1000, MATCH($B12, Attendance_data!$E$3:$BI$3, 0) + 4)),
    "P"
  )
  /
  (
    COUNTIFS(
      Attendance_data!$B$4:$B$1000,Z$4,
      INDIRECT("Attendance_data!" &amp; ADDRESS(4, MATCH($B12, Attendance_data!$E$3:$BI$3, 0) + 4) &amp; ":" &amp;
               ADDRESS(1000, MATCH($B12, Attendance_data!$E$3:$BI$3, 0) + 4)),
      "P"
    )
    +
    COUNTIFS(
      Attendance_data!$B$4:$B$1000,Z$4,
      INDIRECT("Attendance_data!" &amp; ADDRESS(4, MATCH($B12, Attendance_data!$E$3:$BI$3, 0) + 4) &amp; ":" &amp;
               ADDRESS(1000, MATCH($B12, Attendance_data!$E$3:$BI$3, 0) + 4)),
      "A"
    )
  ),"")</f>
        <v>0.3333333333</v>
      </c>
      <c r="AA12" s="18" t="str">
        <f t="array" ref="AA12">IFERROR(
  COUNTIFS(Attendance_data!$B$4:$B$1000,AA$4,
    INDIRECT("Attendance_data!" &amp; ADDRESS(4, MATCH($B12, Attendance_data!$E$3:$BI$3, 0) + 4) &amp; ":" &amp;
             ADDRESS(1000, MATCH($B12, Attendance_data!$E$3:$BI$3, 0) + 4)),
    "P"
  )
  /
  (
    COUNTIFS(
      Attendance_data!$B$4:$B$1000,AA$4,
      INDIRECT("Attendance_data!" &amp; ADDRESS(4, MATCH($B12, Attendance_data!$E$3:$BI$3, 0) + 4) &amp; ":" &amp;
               ADDRESS(1000, MATCH($B12, Attendance_data!$E$3:$BI$3, 0) + 4)),
      "P"
    )
    +
    COUNTIFS(
      Attendance_data!$B$4:$B$1000,AA$4,
      INDIRECT("Attendance_data!" &amp; ADDRESS(4, MATCH($B12, Attendance_data!$E$3:$BI$3, 0) + 4) &amp; ":" &amp;
               ADDRESS(1000, MATCH($B12, Attendance_data!$E$3:$BI$3, 0) + 4)),
      "A"
    )
  ),"")</f>
        <v/>
      </c>
      <c r="AB12" s="19">
        <f t="shared" si="3"/>
        <v>0.7506763651</v>
      </c>
      <c r="AC12" s="1"/>
      <c r="AD12" s="1"/>
      <c r="AE12" s="1"/>
      <c r="AF12" s="1"/>
      <c r="AG12" s="1"/>
      <c r="AH12" s="1"/>
    </row>
    <row r="13">
      <c r="A13" s="14">
        <f t="shared" si="2"/>
        <v>9</v>
      </c>
      <c r="B13" s="15" t="s">
        <v>48</v>
      </c>
      <c r="C13" s="15" t="s">
        <v>49</v>
      </c>
      <c r="D13" s="15" t="s">
        <v>42</v>
      </c>
      <c r="E13" s="15" t="s">
        <v>38</v>
      </c>
      <c r="F13" s="15">
        <v>8.29121349E9</v>
      </c>
      <c r="G13" s="15" t="s">
        <v>39</v>
      </c>
      <c r="H13" s="15">
        <v>2021.0</v>
      </c>
      <c r="I13" s="16" t="s">
        <v>23</v>
      </c>
      <c r="J13" s="17">
        <v>30.0</v>
      </c>
      <c r="K13" s="17">
        <v>26.0</v>
      </c>
      <c r="L13" s="17">
        <v>27.0</v>
      </c>
      <c r="M13" s="17">
        <v>29.0</v>
      </c>
      <c r="N13" s="17">
        <v>30.0</v>
      </c>
      <c r="O13" s="17">
        <v>26.0</v>
      </c>
      <c r="P13" s="18">
        <f t="array" ref="P13">IFERROR(
  COUNTIFS(Attendance_data!$B$4:$B$1000,P$4,
    INDIRECT("Attendance_data!" &amp; ADDRESS(4, MATCH($B13, Attendance_data!$E$3:$BI$3, 0) + 4) &amp; ":" &amp;
             ADDRESS(1000, MATCH($B13, Attendance_data!$E$3:$BI$3, 0) + 4)),
    "P"
  )
  /
  (
    COUNTIFS(
      Attendance_data!$B$4:$B$1000,P$4,
      INDIRECT("Attendance_data!" &amp; ADDRESS(4, MATCH($B13, Attendance_data!$E$3:$BI$3, 0) + 4) &amp; ":" &amp;
               ADDRESS(1000, MATCH($B13, Attendance_data!$E$3:$BI$3, 0) + 4)),
      "P"
    )
    +
    COUNTIFS(
      Attendance_data!$B$4:$B$1000,P$4,
      INDIRECT("Attendance_data!" &amp; ADDRESS(4, MATCH($B13, Attendance_data!$E$3:$BI$3, 0) + 4) &amp; ":" &amp;
               ADDRESS(1000, MATCH($B13, Attendance_data!$E$3:$BI$3, 0) + 4)),
      "A"
    )
  ),"")</f>
        <v>1</v>
      </c>
      <c r="Q13" s="18">
        <f t="array" ref="Q13">IFERROR(
  COUNTIFS(Attendance_data!$B$4:$B$1000,Q$4,
    INDIRECT("Attendance_data!" &amp; ADDRESS(4, MATCH($B13, Attendance_data!$E$3:$BI$3, 0) + 4) &amp; ":" &amp;
             ADDRESS(1000, MATCH($B13, Attendance_data!$E$3:$BI$3, 0) + 4)),
    "P"
  )
  /
  (
    COUNTIFS(
      Attendance_data!$B$4:$B$1000,Q$4,
      INDIRECT("Attendance_data!" &amp; ADDRESS(4, MATCH($B13, Attendance_data!$E$3:$BI$3, 0) + 4) &amp; ":" &amp;
               ADDRESS(1000, MATCH($B13, Attendance_data!$E$3:$BI$3, 0) + 4)),
      "P"
    )
    +
    COUNTIFS(
      Attendance_data!$B$4:$B$1000,Q$4,
      INDIRECT("Attendance_data!" &amp; ADDRESS(4, MATCH($B13, Attendance_data!$E$3:$BI$3, 0) + 4) &amp; ":" &amp;
               ADDRESS(1000, MATCH($B13, Attendance_data!$E$3:$BI$3, 0) + 4)),
      "A"
    )
  ),"")</f>
        <v>0.9230769231</v>
      </c>
      <c r="R13" s="18">
        <f t="array" ref="R13">IFERROR(
  COUNTIFS(Attendance_data!$B$4:$B$1000,R$4,
    INDIRECT("Attendance_data!" &amp; ADDRESS(4, MATCH($B13, Attendance_data!$E$3:$BI$3, 0) + 4) &amp; ":" &amp;
             ADDRESS(1000, MATCH($B13, Attendance_data!$E$3:$BI$3, 0) + 4)),
    "P"
  )
  /
  (
    COUNTIFS(
      Attendance_data!$B$4:$B$1000,R$4,
      INDIRECT("Attendance_data!" &amp; ADDRESS(4, MATCH($B13, Attendance_data!$E$3:$BI$3, 0) + 4) &amp; ":" &amp;
               ADDRESS(1000, MATCH($B13, Attendance_data!$E$3:$BI$3, 0) + 4)),
      "P"
    )
    +
    COUNTIFS(
      Attendance_data!$B$4:$B$1000,R$4,
      INDIRECT("Attendance_data!" &amp; ADDRESS(4, MATCH($B13, Attendance_data!$E$3:$BI$3, 0) + 4) &amp; ":" &amp;
               ADDRESS(1000, MATCH($B13, Attendance_data!$E$3:$BI$3, 0) + 4)),
      "A"
    )
  ),"")</f>
        <v>0.3684210526</v>
      </c>
      <c r="S13" s="18">
        <f t="array" ref="S13">IFERROR(
  COUNTIFS(Attendance_data!$B$4:$B$1000,S$4,
    INDIRECT("Attendance_data!" &amp; ADDRESS(4, MATCH($B13, Attendance_data!$E$3:$BI$3, 0) + 4) &amp; ":" &amp;
             ADDRESS(1000, MATCH($B13, Attendance_data!$E$3:$BI$3, 0) + 4)),
    "P"
  )
  /
  (
    COUNTIFS(
      Attendance_data!$B$4:$B$1000,S$4,
      INDIRECT("Attendance_data!" &amp; ADDRESS(4, MATCH($B13, Attendance_data!$E$3:$BI$3, 0) + 4) &amp; ":" &amp;
               ADDRESS(1000, MATCH($B13, Attendance_data!$E$3:$BI$3, 0) + 4)),
      "P"
    )
    +
    COUNTIFS(
      Attendance_data!$B$4:$B$1000,S$4,
      INDIRECT("Attendance_data!" &amp; ADDRESS(4, MATCH($B13, Attendance_data!$E$3:$BI$3, 0) + 4) &amp; ":" &amp;
               ADDRESS(1000, MATCH($B13, Attendance_data!$E$3:$BI$3, 0) + 4)),
      "A"
    )
  ),"")</f>
        <v>0.6818181818</v>
      </c>
      <c r="T13" s="18">
        <f t="array" ref="T13">IFERROR(
  COUNTIFS(Attendance_data!$B$4:$B$1000,T$4,
    INDIRECT("Attendance_data!" &amp; ADDRESS(4, MATCH($B13, Attendance_data!$E$3:$BI$3, 0) + 4) &amp; ":" &amp;
             ADDRESS(1000, MATCH($B13, Attendance_data!$E$3:$BI$3, 0) + 4)),
    "P"
  )
  /
  (
    COUNTIFS(
      Attendance_data!$B$4:$B$1000,T$4,
      INDIRECT("Attendance_data!" &amp; ADDRESS(4, MATCH($B13, Attendance_data!$E$3:$BI$3, 0) + 4) &amp; ":" &amp;
               ADDRESS(1000, MATCH($B13, Attendance_data!$E$3:$BI$3, 0) + 4)),
      "P"
    )
    +
    COUNTIFS(
      Attendance_data!$B$4:$B$1000,T$4,
      INDIRECT("Attendance_data!" &amp; ADDRESS(4, MATCH($B13, Attendance_data!$E$3:$BI$3, 0) + 4) &amp; ":" &amp;
               ADDRESS(1000, MATCH($B13, Attendance_data!$E$3:$BI$3, 0) + 4)),
      "A"
    )
  ),"")</f>
        <v>0.9</v>
      </c>
      <c r="U13" s="18">
        <f t="array" ref="U13">IFERROR(
  COUNTIFS(Attendance_data!$B$4:$B$1000,U$4,
    INDIRECT("Attendance_data!" &amp; ADDRESS(4, MATCH($B13, Attendance_data!$E$3:$BI$3, 0) + 4) &amp; ":" &amp;
             ADDRESS(1000, MATCH($B13, Attendance_data!$E$3:$BI$3, 0) + 4)),
    "P"
  )
  /
  (
    COUNTIFS(
      Attendance_data!$B$4:$B$1000,U$4,
      INDIRECT("Attendance_data!" &amp; ADDRESS(4, MATCH($B13, Attendance_data!$E$3:$BI$3, 0) + 4) &amp; ":" &amp;
               ADDRESS(1000, MATCH($B13, Attendance_data!$E$3:$BI$3, 0) + 4)),
      "P"
    )
    +
    COUNTIFS(
      Attendance_data!$B$4:$B$1000,U$4,
      INDIRECT("Attendance_data!" &amp; ADDRESS(4, MATCH($B13, Attendance_data!$E$3:$BI$3, 0) + 4) &amp; ":" &amp;
               ADDRESS(1000, MATCH($B13, Attendance_data!$E$3:$BI$3, 0) + 4)),
      "A"
    )
  ),"")</f>
        <v>0.8</v>
      </c>
      <c r="V13" s="18">
        <f t="array" ref="V13">IFERROR(
  COUNTIFS(Attendance_data!$B$4:$B$1000,V$4,
    INDIRECT("Attendance_data!" &amp; ADDRESS(4, MATCH($B13, Attendance_data!$E$3:$BI$3, 0) + 4) &amp; ":" &amp;
             ADDRESS(1000, MATCH($B13, Attendance_data!$E$3:$BI$3, 0) + 4)),
    "P"
  )
  /
  (
    COUNTIFS(
      Attendance_data!$B$4:$B$1000,V$4,
      INDIRECT("Attendance_data!" &amp; ADDRESS(4, MATCH($B13, Attendance_data!$E$3:$BI$3, 0) + 4) &amp; ":" &amp;
               ADDRESS(1000, MATCH($B13, Attendance_data!$E$3:$BI$3, 0) + 4)),
      "P"
    )
    +
    COUNTIFS(
      Attendance_data!$B$4:$B$1000,V$4,
      INDIRECT("Attendance_data!" &amp; ADDRESS(4, MATCH($B13, Attendance_data!$E$3:$BI$3, 0) + 4) &amp; ":" &amp;
               ADDRESS(1000, MATCH($B13, Attendance_data!$E$3:$BI$3, 0) + 4)),
      "A"
    )
  ),"")</f>
        <v>0.88</v>
      </c>
      <c r="W13" s="18">
        <f t="array" ref="W13">IFERROR(
  COUNTIFS(Attendance_data!$B$4:$B$1000,W$4,
    INDIRECT("Attendance_data!" &amp; ADDRESS(4, MATCH($B13, Attendance_data!$E$3:$BI$3, 0) + 4) &amp; ":" &amp;
             ADDRESS(1000, MATCH($B13, Attendance_data!$E$3:$BI$3, 0) + 4)),
    "P"
  )
  /
  (
    COUNTIFS(
      Attendance_data!$B$4:$B$1000,W$4,
      INDIRECT("Attendance_data!" &amp; ADDRESS(4, MATCH($B13, Attendance_data!$E$3:$BI$3, 0) + 4) &amp; ":" &amp;
               ADDRESS(1000, MATCH($B13, Attendance_data!$E$3:$BI$3, 0) + 4)),
      "P"
    )
    +
    COUNTIFS(
      Attendance_data!$B$4:$B$1000,W$4,
      INDIRECT("Attendance_data!" &amp; ADDRESS(4, MATCH($B13, Attendance_data!$E$3:$BI$3, 0) + 4) &amp; ":" &amp;
               ADDRESS(1000, MATCH($B13, Attendance_data!$E$3:$BI$3, 0) + 4)),
      "A"
    )
  ),"")</f>
        <v>0.72</v>
      </c>
      <c r="X13" s="18">
        <f t="array" ref="X13">IFERROR(
  COUNTIFS(Attendance_data!$B$4:$B$1000,X$4,
    INDIRECT("Attendance_data!" &amp; ADDRESS(4, MATCH($B13, Attendance_data!$E$3:$BI$3, 0) + 4) &amp; ":" &amp;
             ADDRESS(1000, MATCH($B13, Attendance_data!$E$3:$BI$3, 0) + 4)),
    "P"
  )
  /
  (
    COUNTIFS(
      Attendance_data!$B$4:$B$1000,X$4,
      INDIRECT("Attendance_data!" &amp; ADDRESS(4, MATCH($B13, Attendance_data!$E$3:$BI$3, 0) + 4) &amp; ":" &amp;
               ADDRESS(1000, MATCH($B13, Attendance_data!$E$3:$BI$3, 0) + 4)),
      "P"
    )
    +
    COUNTIFS(
      Attendance_data!$B$4:$B$1000,X$4,
      INDIRECT("Attendance_data!" &amp; ADDRESS(4, MATCH($B13, Attendance_data!$E$3:$BI$3, 0) + 4) &amp; ":" &amp;
               ADDRESS(1000, MATCH($B13, Attendance_data!$E$3:$BI$3, 0) + 4)),
      "A"
    )
  ),"")</f>
        <v>0.8095238095</v>
      </c>
      <c r="Y13" s="18">
        <f t="array" ref="Y13">IFERROR(
  COUNTIFS(Attendance_data!$B$4:$B$1000,Y$4,
    INDIRECT("Attendance_data!" &amp; ADDRESS(4, MATCH($B13, Attendance_data!$E$3:$BI$3, 0) + 4) &amp; ":" &amp;
             ADDRESS(1000, MATCH($B13, Attendance_data!$E$3:$BI$3, 0) + 4)),
    "P"
  )
  /
  (
    COUNTIFS(
      Attendance_data!$B$4:$B$1000,Y$4,
      INDIRECT("Attendance_data!" &amp; ADDRESS(4, MATCH($B13, Attendance_data!$E$3:$BI$3, 0) + 4) &amp; ":" &amp;
               ADDRESS(1000, MATCH($B13, Attendance_data!$E$3:$BI$3, 0) + 4)),
      "P"
    )
    +
    COUNTIFS(
      Attendance_data!$B$4:$B$1000,Y$4,
      INDIRECT("Attendance_data!" &amp; ADDRESS(4, MATCH($B13, Attendance_data!$E$3:$BI$3, 0) + 4) &amp; ":" &amp;
               ADDRESS(1000, MATCH($B13, Attendance_data!$E$3:$BI$3, 0) + 4)),
      "A"
    )
  ),"")</f>
        <v>0.75</v>
      </c>
      <c r="Z13" s="18">
        <f t="array" ref="Z13">IFERROR(
  COUNTIFS(Attendance_data!$B$4:$B$1000,Z$4,
    INDIRECT("Attendance_data!" &amp; ADDRESS(4, MATCH($B13, Attendance_data!$E$3:$BI$3, 0) + 4) &amp; ":" &amp;
             ADDRESS(1000, MATCH($B13, Attendance_data!$E$3:$BI$3, 0) + 4)),
    "P"
  )
  /
  (
    COUNTIFS(
      Attendance_data!$B$4:$B$1000,Z$4,
      INDIRECT("Attendance_data!" &amp; ADDRESS(4, MATCH($B13, Attendance_data!$E$3:$BI$3, 0) + 4) &amp; ":" &amp;
               ADDRESS(1000, MATCH($B13, Attendance_data!$E$3:$BI$3, 0) + 4)),
      "P"
    )
    +
    COUNTIFS(
      Attendance_data!$B$4:$B$1000,Z$4,
      INDIRECT("Attendance_data!" &amp; ADDRESS(4, MATCH($B13, Attendance_data!$E$3:$BI$3, 0) + 4) &amp; ":" &amp;
               ADDRESS(1000, MATCH($B13, Attendance_data!$E$3:$BI$3, 0) + 4)),
      "A"
    )
  ),"")</f>
        <v>0.5555555556</v>
      </c>
      <c r="AA13" s="18" t="str">
        <f t="array" ref="AA13">IFERROR(
  COUNTIFS(Attendance_data!$B$4:$B$1000,AA$4,
    INDIRECT("Attendance_data!" &amp; ADDRESS(4, MATCH($B13, Attendance_data!$E$3:$BI$3, 0) + 4) &amp; ":" &amp;
             ADDRESS(1000, MATCH($B13, Attendance_data!$E$3:$BI$3, 0) + 4)),
    "P"
  )
  /
  (
    COUNTIFS(
      Attendance_data!$B$4:$B$1000,AA$4,
      INDIRECT("Attendance_data!" &amp; ADDRESS(4, MATCH($B13, Attendance_data!$E$3:$BI$3, 0) + 4) &amp; ":" &amp;
               ADDRESS(1000, MATCH($B13, Attendance_data!$E$3:$BI$3, 0) + 4)),
      "P"
    )
    +
    COUNTIFS(
      Attendance_data!$B$4:$B$1000,AA$4,
      INDIRECT("Attendance_data!" &amp; ADDRESS(4, MATCH($B13, Attendance_data!$E$3:$BI$3, 0) + 4) &amp; ":" &amp;
               ADDRESS(1000, MATCH($B13, Attendance_data!$E$3:$BI$3, 0) + 4)),
      "A"
    )
  ),"")</f>
        <v/>
      </c>
      <c r="AB13" s="19">
        <f t="shared" si="3"/>
        <v>0.7625814111</v>
      </c>
      <c r="AC13" s="1"/>
      <c r="AD13" s="1"/>
      <c r="AE13" s="1"/>
      <c r="AF13" s="1"/>
      <c r="AG13" s="1"/>
      <c r="AH13" s="1"/>
    </row>
    <row r="14">
      <c r="A14" s="14">
        <f t="shared" si="2"/>
        <v>10</v>
      </c>
      <c r="B14" s="15" t="s">
        <v>50</v>
      </c>
      <c r="C14" s="15" t="s">
        <v>51</v>
      </c>
      <c r="D14" s="15" t="s">
        <v>20</v>
      </c>
      <c r="E14" s="15" t="s">
        <v>38</v>
      </c>
      <c r="F14" s="15">
        <v>9.867114152E9</v>
      </c>
      <c r="G14" s="15" t="s">
        <v>39</v>
      </c>
      <c r="H14" s="15">
        <v>2022.0</v>
      </c>
      <c r="I14" s="16" t="s">
        <v>23</v>
      </c>
      <c r="J14" s="17">
        <v>23.0</v>
      </c>
      <c r="K14" s="17">
        <v>25.0</v>
      </c>
      <c r="L14" s="17">
        <v>25.0</v>
      </c>
      <c r="M14" s="17">
        <v>27.0</v>
      </c>
      <c r="N14" s="17">
        <v>23.0</v>
      </c>
      <c r="O14" s="17">
        <v>20.0</v>
      </c>
      <c r="P14" s="18">
        <f t="array" ref="P14">IFERROR(
  COUNTIFS(Attendance_data!$B$4:$B$1000,P$4,
    INDIRECT("Attendance_data!" &amp; ADDRESS(4, MATCH($B14, Attendance_data!$E$3:$BI$3, 0) + 4) &amp; ":" &amp;
             ADDRESS(1000, MATCH($B14, Attendance_data!$E$3:$BI$3, 0) + 4)),
    "P"
  )
  /
  (
    COUNTIFS(
      Attendance_data!$B$4:$B$1000,P$4,
      INDIRECT("Attendance_data!" &amp; ADDRESS(4, MATCH($B14, Attendance_data!$E$3:$BI$3, 0) + 4) &amp; ":" &amp;
               ADDRESS(1000, MATCH($B14, Attendance_data!$E$3:$BI$3, 0) + 4)),
      "P"
    )
    +
    COUNTIFS(
      Attendance_data!$B$4:$B$1000,P$4,
      INDIRECT("Attendance_data!" &amp; ADDRESS(4, MATCH($B14, Attendance_data!$E$3:$BI$3, 0) + 4) &amp; ":" &amp;
               ADDRESS(1000, MATCH($B14, Attendance_data!$E$3:$BI$3, 0) + 4)),
      "A"
    )
  ),"")</f>
        <v>0.5238095238</v>
      </c>
      <c r="Q14" s="18">
        <f t="array" ref="Q14">IFERROR(
  COUNTIFS(Attendance_data!$B$4:$B$1000,Q$4,
    INDIRECT("Attendance_data!" &amp; ADDRESS(4, MATCH($B14, Attendance_data!$E$3:$BI$3, 0) + 4) &amp; ":" &amp;
             ADDRESS(1000, MATCH($B14, Attendance_data!$E$3:$BI$3, 0) + 4)),
    "P"
  )
  /
  (
    COUNTIFS(
      Attendance_data!$B$4:$B$1000,Q$4,
      INDIRECT("Attendance_data!" &amp; ADDRESS(4, MATCH($B14, Attendance_data!$E$3:$BI$3, 0) + 4) &amp; ":" &amp;
               ADDRESS(1000, MATCH($B14, Attendance_data!$E$3:$BI$3, 0) + 4)),
      "P"
    )
    +
    COUNTIFS(
      Attendance_data!$B$4:$B$1000,Q$4,
      INDIRECT("Attendance_data!" &amp; ADDRESS(4, MATCH($B14, Attendance_data!$E$3:$BI$3, 0) + 4) &amp; ":" &amp;
               ADDRESS(1000, MATCH($B14, Attendance_data!$E$3:$BI$3, 0) + 4)),
      "A"
    )
  ),"")</f>
        <v>1</v>
      </c>
      <c r="R14" s="18">
        <f t="array" ref="R14">IFERROR(
  COUNTIFS(Attendance_data!$B$4:$B$1000,R$4,
    INDIRECT("Attendance_data!" &amp; ADDRESS(4, MATCH($B14, Attendance_data!$E$3:$BI$3, 0) + 4) &amp; ":" &amp;
             ADDRESS(1000, MATCH($B14, Attendance_data!$E$3:$BI$3, 0) + 4)),
    "P"
  )
  /
  (
    COUNTIFS(
      Attendance_data!$B$4:$B$1000,R$4,
      INDIRECT("Attendance_data!" &amp; ADDRESS(4, MATCH($B14, Attendance_data!$E$3:$BI$3, 0) + 4) &amp; ":" &amp;
               ADDRESS(1000, MATCH($B14, Attendance_data!$E$3:$BI$3, 0) + 4)),
      "P"
    )
    +
    COUNTIFS(
      Attendance_data!$B$4:$B$1000,R$4,
      INDIRECT("Attendance_data!" &amp; ADDRESS(4, MATCH($B14, Attendance_data!$E$3:$BI$3, 0) + 4) &amp; ":" &amp;
               ADDRESS(1000, MATCH($B14, Attendance_data!$E$3:$BI$3, 0) + 4)),
      "A"
    )
  ),"")</f>
        <v>1</v>
      </c>
      <c r="S14" s="18">
        <f t="array" ref="S14">IFERROR(
  COUNTIFS(Attendance_data!$B$4:$B$1000,S$4,
    INDIRECT("Attendance_data!" &amp; ADDRESS(4, MATCH($B14, Attendance_data!$E$3:$BI$3, 0) + 4) &amp; ":" &amp;
             ADDRESS(1000, MATCH($B14, Attendance_data!$E$3:$BI$3, 0) + 4)),
    "P"
  )
  /
  (
    COUNTIFS(
      Attendance_data!$B$4:$B$1000,S$4,
      INDIRECT("Attendance_data!" &amp; ADDRESS(4, MATCH($B14, Attendance_data!$E$3:$BI$3, 0) + 4) &amp; ":" &amp;
               ADDRESS(1000, MATCH($B14, Attendance_data!$E$3:$BI$3, 0) + 4)),
      "P"
    )
    +
    COUNTIFS(
      Attendance_data!$B$4:$B$1000,S$4,
      INDIRECT("Attendance_data!" &amp; ADDRESS(4, MATCH($B14, Attendance_data!$E$3:$BI$3, 0) + 4) &amp; ":" &amp;
               ADDRESS(1000, MATCH($B14, Attendance_data!$E$3:$BI$3, 0) + 4)),
      "A"
    )
  ),"")</f>
        <v>0.9545454545</v>
      </c>
      <c r="T14" s="18">
        <f t="array" ref="T14">IFERROR(
  COUNTIFS(Attendance_data!$B$4:$B$1000,T$4,
    INDIRECT("Attendance_data!" &amp; ADDRESS(4, MATCH($B14, Attendance_data!$E$3:$BI$3, 0) + 4) &amp; ":" &amp;
             ADDRESS(1000, MATCH($B14, Attendance_data!$E$3:$BI$3, 0) + 4)),
    "P"
  )
  /
  (
    COUNTIFS(
      Attendance_data!$B$4:$B$1000,T$4,
      INDIRECT("Attendance_data!" &amp; ADDRESS(4, MATCH($B14, Attendance_data!$E$3:$BI$3, 0) + 4) &amp; ":" &amp;
               ADDRESS(1000, MATCH($B14, Attendance_data!$E$3:$BI$3, 0) + 4)),
      "P"
    )
    +
    COUNTIFS(
      Attendance_data!$B$4:$B$1000,T$4,
      INDIRECT("Attendance_data!" &amp; ADDRESS(4, MATCH($B14, Attendance_data!$E$3:$BI$3, 0) + 4) &amp; ":" &amp;
               ADDRESS(1000, MATCH($B14, Attendance_data!$E$3:$BI$3, 0) + 4)),
      "A"
    )
  ),"")</f>
        <v>1</v>
      </c>
      <c r="U14" s="18">
        <f t="array" ref="U14">IFERROR(
  COUNTIFS(Attendance_data!$B$4:$B$1000,U$4,
    INDIRECT("Attendance_data!" &amp; ADDRESS(4, MATCH($B14, Attendance_data!$E$3:$BI$3, 0) + 4) &amp; ":" &amp;
             ADDRESS(1000, MATCH($B14, Attendance_data!$E$3:$BI$3, 0) + 4)),
    "P"
  )
  /
  (
    COUNTIFS(
      Attendance_data!$B$4:$B$1000,U$4,
      INDIRECT("Attendance_data!" &amp; ADDRESS(4, MATCH($B14, Attendance_data!$E$3:$BI$3, 0) + 4) &amp; ":" &amp;
               ADDRESS(1000, MATCH($B14, Attendance_data!$E$3:$BI$3, 0) + 4)),
      "P"
    )
    +
    COUNTIFS(
      Attendance_data!$B$4:$B$1000,U$4,
      INDIRECT("Attendance_data!" &amp; ADDRESS(4, MATCH($B14, Attendance_data!$E$3:$BI$3, 0) + 4) &amp; ":" &amp;
               ADDRESS(1000, MATCH($B14, Attendance_data!$E$3:$BI$3, 0) + 4)),
      "A"
    )
  ),"")</f>
        <v>0.96</v>
      </c>
      <c r="V14" s="18">
        <f t="array" ref="V14">IFERROR(
  COUNTIFS(Attendance_data!$B$4:$B$1000,V$4,
    INDIRECT("Attendance_data!" &amp; ADDRESS(4, MATCH($B14, Attendance_data!$E$3:$BI$3, 0) + 4) &amp; ":" &amp;
             ADDRESS(1000, MATCH($B14, Attendance_data!$E$3:$BI$3, 0) + 4)),
    "P"
  )
  /
  (
    COUNTIFS(
      Attendance_data!$B$4:$B$1000,V$4,
      INDIRECT("Attendance_data!" &amp; ADDRESS(4, MATCH($B14, Attendance_data!$E$3:$BI$3, 0) + 4) &amp; ":" &amp;
               ADDRESS(1000, MATCH($B14, Attendance_data!$E$3:$BI$3, 0) + 4)),
      "P"
    )
    +
    COUNTIFS(
      Attendance_data!$B$4:$B$1000,V$4,
      INDIRECT("Attendance_data!" &amp; ADDRESS(4, MATCH($B14, Attendance_data!$E$3:$BI$3, 0) + 4) &amp; ":" &amp;
               ADDRESS(1000, MATCH($B14, Attendance_data!$E$3:$BI$3, 0) + 4)),
      "A"
    )
  ),"")</f>
        <v>1</v>
      </c>
      <c r="W14" s="18">
        <f t="array" ref="W14">IFERROR(
  COUNTIFS(Attendance_data!$B$4:$B$1000,W$4,
    INDIRECT("Attendance_data!" &amp; ADDRESS(4, MATCH($B14, Attendance_data!$E$3:$BI$3, 0) + 4) &amp; ":" &amp;
             ADDRESS(1000, MATCH($B14, Attendance_data!$E$3:$BI$3, 0) + 4)),
    "P"
  )
  /
  (
    COUNTIFS(
      Attendance_data!$B$4:$B$1000,W$4,
      INDIRECT("Attendance_data!" &amp; ADDRESS(4, MATCH($B14, Attendance_data!$E$3:$BI$3, 0) + 4) &amp; ":" &amp;
               ADDRESS(1000, MATCH($B14, Attendance_data!$E$3:$BI$3, 0) + 4)),
      "P"
    )
    +
    COUNTIFS(
      Attendance_data!$B$4:$B$1000,W$4,
      INDIRECT("Attendance_data!" &amp; ADDRESS(4, MATCH($B14, Attendance_data!$E$3:$BI$3, 0) + 4) &amp; ":" &amp;
               ADDRESS(1000, MATCH($B14, Attendance_data!$E$3:$BI$3, 0) + 4)),
      "A"
    )
  ),"")</f>
        <v>0.96</v>
      </c>
      <c r="X14" s="18">
        <f t="array" ref="X14">IFERROR(
  COUNTIFS(Attendance_data!$B$4:$B$1000,X$4,
    INDIRECT("Attendance_data!" &amp; ADDRESS(4, MATCH($B14, Attendance_data!$E$3:$BI$3, 0) + 4) &amp; ":" &amp;
             ADDRESS(1000, MATCH($B14, Attendance_data!$E$3:$BI$3, 0) + 4)),
    "P"
  )
  /
  (
    COUNTIFS(
      Attendance_data!$B$4:$B$1000,X$4,
      INDIRECT("Attendance_data!" &amp; ADDRESS(4, MATCH($B14, Attendance_data!$E$3:$BI$3, 0) + 4) &amp; ":" &amp;
               ADDRESS(1000, MATCH($B14, Attendance_data!$E$3:$BI$3, 0) + 4)),
      "P"
    )
    +
    COUNTIFS(
      Attendance_data!$B$4:$B$1000,X$4,
      INDIRECT("Attendance_data!" &amp; ADDRESS(4, MATCH($B14, Attendance_data!$E$3:$BI$3, 0) + 4) &amp; ":" &amp;
               ADDRESS(1000, MATCH($B14, Attendance_data!$E$3:$BI$3, 0) + 4)),
      "A"
    )
  ),"")</f>
        <v>0.9523809524</v>
      </c>
      <c r="Y14" s="18">
        <f t="array" ref="Y14">IFERROR(
  COUNTIFS(Attendance_data!$B$4:$B$1000,Y$4,
    INDIRECT("Attendance_data!" &amp; ADDRESS(4, MATCH($B14, Attendance_data!$E$3:$BI$3, 0) + 4) &amp; ":" &amp;
             ADDRESS(1000, MATCH($B14, Attendance_data!$E$3:$BI$3, 0) + 4)),
    "P"
  )
  /
  (
    COUNTIFS(
      Attendance_data!$B$4:$B$1000,Y$4,
      INDIRECT("Attendance_data!" &amp; ADDRESS(4, MATCH($B14, Attendance_data!$E$3:$BI$3, 0) + 4) &amp; ":" &amp;
               ADDRESS(1000, MATCH($B14, Attendance_data!$E$3:$BI$3, 0) + 4)),
      "P"
    )
    +
    COUNTIFS(
      Attendance_data!$B$4:$B$1000,Y$4,
      INDIRECT("Attendance_data!" &amp; ADDRESS(4, MATCH($B14, Attendance_data!$E$3:$BI$3, 0) + 4) &amp; ":" &amp;
               ADDRESS(1000, MATCH($B14, Attendance_data!$E$3:$BI$3, 0) + 4)),
      "A"
    )
  ),"")</f>
        <v>0.9583333333</v>
      </c>
      <c r="Z14" s="18">
        <f t="array" ref="Z14">IFERROR(
  COUNTIFS(Attendance_data!$B$4:$B$1000,Z$4,
    INDIRECT("Attendance_data!" &amp; ADDRESS(4, MATCH($B14, Attendance_data!$E$3:$BI$3, 0) + 4) &amp; ":" &amp;
             ADDRESS(1000, MATCH($B14, Attendance_data!$E$3:$BI$3, 0) + 4)),
    "P"
  )
  /
  (
    COUNTIFS(
      Attendance_data!$B$4:$B$1000,Z$4,
      INDIRECT("Attendance_data!" &amp; ADDRESS(4, MATCH($B14, Attendance_data!$E$3:$BI$3, 0) + 4) &amp; ":" &amp;
               ADDRESS(1000, MATCH($B14, Attendance_data!$E$3:$BI$3, 0) + 4)),
      "P"
    )
    +
    COUNTIFS(
      Attendance_data!$B$4:$B$1000,Z$4,
      INDIRECT("Attendance_data!" &amp; ADDRESS(4, MATCH($B14, Attendance_data!$E$3:$BI$3, 0) + 4) &amp; ":" &amp;
               ADDRESS(1000, MATCH($B14, Attendance_data!$E$3:$BI$3, 0) + 4)),
      "A"
    )
  ),"")</f>
        <v>1</v>
      </c>
      <c r="AA14" s="18" t="str">
        <f t="array" ref="AA14">IFERROR(
  COUNTIFS(Attendance_data!$B$4:$B$1000,AA$4,
    INDIRECT("Attendance_data!" &amp; ADDRESS(4, MATCH($B14, Attendance_data!$E$3:$BI$3, 0) + 4) &amp; ":" &amp;
             ADDRESS(1000, MATCH($B14, Attendance_data!$E$3:$BI$3, 0) + 4)),
    "P"
  )
  /
  (
    COUNTIFS(
      Attendance_data!$B$4:$B$1000,AA$4,
      INDIRECT("Attendance_data!" &amp; ADDRESS(4, MATCH($B14, Attendance_data!$E$3:$BI$3, 0) + 4) &amp; ":" &amp;
               ADDRESS(1000, MATCH($B14, Attendance_data!$E$3:$BI$3, 0) + 4)),
      "P"
    )
    +
    COUNTIFS(
      Attendance_data!$B$4:$B$1000,AA$4,
      INDIRECT("Attendance_data!" &amp; ADDRESS(4, MATCH($B14, Attendance_data!$E$3:$BI$3, 0) + 4) &amp; ":" &amp;
               ADDRESS(1000, MATCH($B14, Attendance_data!$E$3:$BI$3, 0) + 4)),
      "A"
    )
  ),"")</f>
        <v/>
      </c>
      <c r="AB14" s="19">
        <f t="shared" si="3"/>
        <v>0.9371881149</v>
      </c>
      <c r="AC14" s="1"/>
      <c r="AD14" s="1"/>
      <c r="AE14" s="1"/>
      <c r="AF14" s="1"/>
      <c r="AG14" s="1"/>
      <c r="AH14" s="1"/>
    </row>
    <row r="15">
      <c r="A15" s="14">
        <f t="shared" si="2"/>
        <v>11</v>
      </c>
      <c r="B15" s="15" t="s">
        <v>52</v>
      </c>
      <c r="C15" s="15" t="s">
        <v>53</v>
      </c>
      <c r="D15" s="15" t="s">
        <v>20</v>
      </c>
      <c r="E15" s="15" t="s">
        <v>38</v>
      </c>
      <c r="F15" s="15">
        <v>9.867114152E9</v>
      </c>
      <c r="G15" s="15" t="s">
        <v>39</v>
      </c>
      <c r="H15" s="15">
        <v>2022.0</v>
      </c>
      <c r="I15" s="16" t="s">
        <v>23</v>
      </c>
      <c r="J15" s="17">
        <v>29.0</v>
      </c>
      <c r="K15" s="17">
        <v>24.0</v>
      </c>
      <c r="L15" s="17">
        <v>27.0</v>
      </c>
      <c r="M15" s="17">
        <v>26.0</v>
      </c>
      <c r="N15" s="17">
        <v>25.0</v>
      </c>
      <c r="O15" s="17">
        <v>25.0</v>
      </c>
      <c r="P15" s="18">
        <f t="array" ref="P15">IFERROR(
  COUNTIFS(Attendance_data!$B$4:$B$1000,P$4,
    INDIRECT("Attendance_data!" &amp; ADDRESS(4, MATCH($B15, Attendance_data!$E$3:$BI$3, 0) + 4) &amp; ":" &amp;
             ADDRESS(1000, MATCH($B15, Attendance_data!$E$3:$BI$3, 0) + 4)),
    "P"
  )
  /
  (
    COUNTIFS(
      Attendance_data!$B$4:$B$1000,P$4,
      INDIRECT("Attendance_data!" &amp; ADDRESS(4, MATCH($B15, Attendance_data!$E$3:$BI$3, 0) + 4) &amp; ":" &amp;
               ADDRESS(1000, MATCH($B15, Attendance_data!$E$3:$BI$3, 0) + 4)),
      "P"
    )
    +
    COUNTIFS(
      Attendance_data!$B$4:$B$1000,P$4,
      INDIRECT("Attendance_data!" &amp; ADDRESS(4, MATCH($B15, Attendance_data!$E$3:$BI$3, 0) + 4) &amp; ":" &amp;
               ADDRESS(1000, MATCH($B15, Attendance_data!$E$3:$BI$3, 0) + 4)),
      "A"
    )
  ),"")</f>
        <v>0.5238095238</v>
      </c>
      <c r="Q15" s="18">
        <f t="array" ref="Q15">IFERROR(
  COUNTIFS(Attendance_data!$B$4:$B$1000,Q$4,
    INDIRECT("Attendance_data!" &amp; ADDRESS(4, MATCH($B15, Attendance_data!$E$3:$BI$3, 0) + 4) &amp; ":" &amp;
             ADDRESS(1000, MATCH($B15, Attendance_data!$E$3:$BI$3, 0) + 4)),
    "P"
  )
  /
  (
    COUNTIFS(
      Attendance_data!$B$4:$B$1000,Q$4,
      INDIRECT("Attendance_data!" &amp; ADDRESS(4, MATCH($B15, Attendance_data!$E$3:$BI$3, 0) + 4) &amp; ":" &amp;
               ADDRESS(1000, MATCH($B15, Attendance_data!$E$3:$BI$3, 0) + 4)),
      "P"
    )
    +
    COUNTIFS(
      Attendance_data!$B$4:$B$1000,Q$4,
      INDIRECT("Attendance_data!" &amp; ADDRESS(4, MATCH($B15, Attendance_data!$E$3:$BI$3, 0) + 4) &amp; ":" &amp;
               ADDRESS(1000, MATCH($B15, Attendance_data!$E$3:$BI$3, 0) + 4)),
      "A"
    )
  ),"")</f>
        <v>1</v>
      </c>
      <c r="R15" s="18">
        <f t="array" ref="R15">IFERROR(
  COUNTIFS(Attendance_data!$B$4:$B$1000,R$4,
    INDIRECT("Attendance_data!" &amp; ADDRESS(4, MATCH($B15, Attendance_data!$E$3:$BI$3, 0) + 4) &amp; ":" &amp;
             ADDRESS(1000, MATCH($B15, Attendance_data!$E$3:$BI$3, 0) + 4)),
    "P"
  )
  /
  (
    COUNTIFS(
      Attendance_data!$B$4:$B$1000,R$4,
      INDIRECT("Attendance_data!" &amp; ADDRESS(4, MATCH($B15, Attendance_data!$E$3:$BI$3, 0) + 4) &amp; ":" &amp;
               ADDRESS(1000, MATCH($B15, Attendance_data!$E$3:$BI$3, 0) + 4)),
      "P"
    )
    +
    COUNTIFS(
      Attendance_data!$B$4:$B$1000,R$4,
      INDIRECT("Attendance_data!" &amp; ADDRESS(4, MATCH($B15, Attendance_data!$E$3:$BI$3, 0) + 4) &amp; ":" &amp;
               ADDRESS(1000, MATCH($B15, Attendance_data!$E$3:$BI$3, 0) + 4)),
      "A"
    )
  ),"")</f>
        <v>1</v>
      </c>
      <c r="S15" s="18">
        <f t="array" ref="S15">IFERROR(
  COUNTIFS(Attendance_data!$B$4:$B$1000,S$4,
    INDIRECT("Attendance_data!" &amp; ADDRESS(4, MATCH($B15, Attendance_data!$E$3:$BI$3, 0) + 4) &amp; ":" &amp;
             ADDRESS(1000, MATCH($B15, Attendance_data!$E$3:$BI$3, 0) + 4)),
    "P"
  )
  /
  (
    COUNTIFS(
      Attendance_data!$B$4:$B$1000,S$4,
      INDIRECT("Attendance_data!" &amp; ADDRESS(4, MATCH($B15, Attendance_data!$E$3:$BI$3, 0) + 4) &amp; ":" &amp;
               ADDRESS(1000, MATCH($B15, Attendance_data!$E$3:$BI$3, 0) + 4)),
      "P"
    )
    +
    COUNTIFS(
      Attendance_data!$B$4:$B$1000,S$4,
      INDIRECT("Attendance_data!" &amp; ADDRESS(4, MATCH($B15, Attendance_data!$E$3:$BI$3, 0) + 4) &amp; ":" &amp;
               ADDRESS(1000, MATCH($B15, Attendance_data!$E$3:$BI$3, 0) + 4)),
      "A"
    )
  ),"")</f>
        <v>0.9545454545</v>
      </c>
      <c r="T15" s="18">
        <f t="array" ref="T15">IFERROR(
  COUNTIFS(Attendance_data!$B$4:$B$1000,T$4,
    INDIRECT("Attendance_data!" &amp; ADDRESS(4, MATCH($B15, Attendance_data!$E$3:$BI$3, 0) + 4) &amp; ":" &amp;
             ADDRESS(1000, MATCH($B15, Attendance_data!$E$3:$BI$3, 0) + 4)),
    "P"
  )
  /
  (
    COUNTIFS(
      Attendance_data!$B$4:$B$1000,T$4,
      INDIRECT("Attendance_data!" &amp; ADDRESS(4, MATCH($B15, Attendance_data!$E$3:$BI$3, 0) + 4) &amp; ":" &amp;
               ADDRESS(1000, MATCH($B15, Attendance_data!$E$3:$BI$3, 0) + 4)),
      "P"
    )
    +
    COUNTIFS(
      Attendance_data!$B$4:$B$1000,T$4,
      INDIRECT("Attendance_data!" &amp; ADDRESS(4, MATCH($B15, Attendance_data!$E$3:$BI$3, 0) + 4) &amp; ":" &amp;
               ADDRESS(1000, MATCH($B15, Attendance_data!$E$3:$BI$3, 0) + 4)),
      "A"
    )
  ),"")</f>
        <v>1</v>
      </c>
      <c r="U15" s="18">
        <f t="array" ref="U15">IFERROR(
  COUNTIFS(Attendance_data!$B$4:$B$1000,U$4,
    INDIRECT("Attendance_data!" &amp; ADDRESS(4, MATCH($B15, Attendance_data!$E$3:$BI$3, 0) + 4) &amp; ":" &amp;
             ADDRESS(1000, MATCH($B15, Attendance_data!$E$3:$BI$3, 0) + 4)),
    "P"
  )
  /
  (
    COUNTIFS(
      Attendance_data!$B$4:$B$1000,U$4,
      INDIRECT("Attendance_data!" &amp; ADDRESS(4, MATCH($B15, Attendance_data!$E$3:$BI$3, 0) + 4) &amp; ":" &amp;
               ADDRESS(1000, MATCH($B15, Attendance_data!$E$3:$BI$3, 0) + 4)),
      "P"
    )
    +
    COUNTIFS(
      Attendance_data!$B$4:$B$1000,U$4,
      INDIRECT("Attendance_data!" &amp; ADDRESS(4, MATCH($B15, Attendance_data!$E$3:$BI$3, 0) + 4) &amp; ":" &amp;
               ADDRESS(1000, MATCH($B15, Attendance_data!$E$3:$BI$3, 0) + 4)),
      "A"
    )
  ),"")</f>
        <v>1</v>
      </c>
      <c r="V15" s="18">
        <f t="array" ref="V15">IFERROR(
  COUNTIFS(Attendance_data!$B$4:$B$1000,V$4,
    INDIRECT("Attendance_data!" &amp; ADDRESS(4, MATCH($B15, Attendance_data!$E$3:$BI$3, 0) + 4) &amp; ":" &amp;
             ADDRESS(1000, MATCH($B15, Attendance_data!$E$3:$BI$3, 0) + 4)),
    "P"
  )
  /
  (
    COUNTIFS(
      Attendance_data!$B$4:$B$1000,V$4,
      INDIRECT("Attendance_data!" &amp; ADDRESS(4, MATCH($B15, Attendance_data!$E$3:$BI$3, 0) + 4) &amp; ":" &amp;
               ADDRESS(1000, MATCH($B15, Attendance_data!$E$3:$BI$3, 0) + 4)),
      "P"
    )
    +
    COUNTIFS(
      Attendance_data!$B$4:$B$1000,V$4,
      INDIRECT("Attendance_data!" &amp; ADDRESS(4, MATCH($B15, Attendance_data!$E$3:$BI$3, 0) + 4) &amp; ":" &amp;
               ADDRESS(1000, MATCH($B15, Attendance_data!$E$3:$BI$3, 0) + 4)),
      "A"
    )
  ),"")</f>
        <v>1</v>
      </c>
      <c r="W15" s="18">
        <f t="array" ref="W15">IFERROR(
  COUNTIFS(Attendance_data!$B$4:$B$1000,W$4,
    INDIRECT("Attendance_data!" &amp; ADDRESS(4, MATCH($B15, Attendance_data!$E$3:$BI$3, 0) + 4) &amp; ":" &amp;
             ADDRESS(1000, MATCH($B15, Attendance_data!$E$3:$BI$3, 0) + 4)),
    "P"
  )
  /
  (
    COUNTIFS(
      Attendance_data!$B$4:$B$1000,W$4,
      INDIRECT("Attendance_data!" &amp; ADDRESS(4, MATCH($B15, Attendance_data!$E$3:$BI$3, 0) + 4) &amp; ":" &amp;
               ADDRESS(1000, MATCH($B15, Attendance_data!$E$3:$BI$3, 0) + 4)),
      "P"
    )
    +
    COUNTIFS(
      Attendance_data!$B$4:$B$1000,W$4,
      INDIRECT("Attendance_data!" &amp; ADDRESS(4, MATCH($B15, Attendance_data!$E$3:$BI$3, 0) + 4) &amp; ":" &amp;
               ADDRESS(1000, MATCH($B15, Attendance_data!$E$3:$BI$3, 0) + 4)),
      "A"
    )
  ),"")</f>
        <v>0.96</v>
      </c>
      <c r="X15" s="18">
        <f t="array" ref="X15">IFERROR(
  COUNTIFS(Attendance_data!$B$4:$B$1000,X$4,
    INDIRECT("Attendance_data!" &amp; ADDRESS(4, MATCH($B15, Attendance_data!$E$3:$BI$3, 0) + 4) &amp; ":" &amp;
             ADDRESS(1000, MATCH($B15, Attendance_data!$E$3:$BI$3, 0) + 4)),
    "P"
  )
  /
  (
    COUNTIFS(
      Attendance_data!$B$4:$B$1000,X$4,
      INDIRECT("Attendance_data!" &amp; ADDRESS(4, MATCH($B15, Attendance_data!$E$3:$BI$3, 0) + 4) &amp; ":" &amp;
               ADDRESS(1000, MATCH($B15, Attendance_data!$E$3:$BI$3, 0) + 4)),
      "P"
    )
    +
    COUNTIFS(
      Attendance_data!$B$4:$B$1000,X$4,
      INDIRECT("Attendance_data!" &amp; ADDRESS(4, MATCH($B15, Attendance_data!$E$3:$BI$3, 0) + 4) &amp; ":" &amp;
               ADDRESS(1000, MATCH($B15, Attendance_data!$E$3:$BI$3, 0) + 4)),
      "A"
    )
  ),"")</f>
        <v>0.9523809524</v>
      </c>
      <c r="Y15" s="18">
        <f t="array" ref="Y15">IFERROR(
  COUNTIFS(Attendance_data!$B$4:$B$1000,Y$4,
    INDIRECT("Attendance_data!" &amp; ADDRESS(4, MATCH($B15, Attendance_data!$E$3:$BI$3, 0) + 4) &amp; ":" &amp;
             ADDRESS(1000, MATCH($B15, Attendance_data!$E$3:$BI$3, 0) + 4)),
    "P"
  )
  /
  (
    COUNTIFS(
      Attendance_data!$B$4:$B$1000,Y$4,
      INDIRECT("Attendance_data!" &amp; ADDRESS(4, MATCH($B15, Attendance_data!$E$3:$BI$3, 0) + 4) &amp; ":" &amp;
               ADDRESS(1000, MATCH($B15, Attendance_data!$E$3:$BI$3, 0) + 4)),
      "P"
    )
    +
    COUNTIFS(
      Attendance_data!$B$4:$B$1000,Y$4,
      INDIRECT("Attendance_data!" &amp; ADDRESS(4, MATCH($B15, Attendance_data!$E$3:$BI$3, 0) + 4) &amp; ":" &amp;
               ADDRESS(1000, MATCH($B15, Attendance_data!$E$3:$BI$3, 0) + 4)),
      "A"
    )
  ),"")</f>
        <v>0.9583333333</v>
      </c>
      <c r="Z15" s="18">
        <f t="array" ref="Z15">IFERROR(
  COUNTIFS(Attendance_data!$B$4:$B$1000,Z$4,
    INDIRECT("Attendance_data!" &amp; ADDRESS(4, MATCH($B15, Attendance_data!$E$3:$BI$3, 0) + 4) &amp; ":" &amp;
             ADDRESS(1000, MATCH($B15, Attendance_data!$E$3:$BI$3, 0) + 4)),
    "P"
  )
  /
  (
    COUNTIFS(
      Attendance_data!$B$4:$B$1000,Z$4,
      INDIRECT("Attendance_data!" &amp; ADDRESS(4, MATCH($B15, Attendance_data!$E$3:$BI$3, 0) + 4) &amp; ":" &amp;
               ADDRESS(1000, MATCH($B15, Attendance_data!$E$3:$BI$3, 0) + 4)),
      "P"
    )
    +
    COUNTIFS(
      Attendance_data!$B$4:$B$1000,Z$4,
      INDIRECT("Attendance_data!" &amp; ADDRESS(4, MATCH($B15, Attendance_data!$E$3:$BI$3, 0) + 4) &amp; ":" &amp;
               ADDRESS(1000, MATCH($B15, Attendance_data!$E$3:$BI$3, 0) + 4)),
      "A"
    )
  ),"")</f>
        <v>1</v>
      </c>
      <c r="AA15" s="18" t="str">
        <f t="array" ref="AA15">IFERROR(
  COUNTIFS(Attendance_data!$B$4:$B$1000,AA$4,
    INDIRECT("Attendance_data!" &amp; ADDRESS(4, MATCH($B15, Attendance_data!$E$3:$BI$3, 0) + 4) &amp; ":" &amp;
             ADDRESS(1000, MATCH($B15, Attendance_data!$E$3:$BI$3, 0) + 4)),
    "P"
  )
  /
  (
    COUNTIFS(
      Attendance_data!$B$4:$B$1000,AA$4,
      INDIRECT("Attendance_data!" &amp; ADDRESS(4, MATCH($B15, Attendance_data!$E$3:$BI$3, 0) + 4) &amp; ":" &amp;
               ADDRESS(1000, MATCH($B15, Attendance_data!$E$3:$BI$3, 0) + 4)),
      "P"
    )
    +
    COUNTIFS(
      Attendance_data!$B$4:$B$1000,AA$4,
      INDIRECT("Attendance_data!" &amp; ADDRESS(4, MATCH($B15, Attendance_data!$E$3:$BI$3, 0) + 4) &amp; ":" &amp;
               ADDRESS(1000, MATCH($B15, Attendance_data!$E$3:$BI$3, 0) + 4)),
      "A"
    )
  ),"")</f>
        <v/>
      </c>
      <c r="AB15" s="19">
        <f t="shared" si="3"/>
        <v>0.9408244786</v>
      </c>
      <c r="AC15" s="1"/>
      <c r="AD15" s="1"/>
      <c r="AE15" s="1"/>
      <c r="AF15" s="1"/>
      <c r="AG15" s="1"/>
      <c r="AH15" s="1"/>
    </row>
    <row r="16">
      <c r="A16" s="14">
        <f t="shared" si="2"/>
        <v>12</v>
      </c>
      <c r="B16" s="15" t="s">
        <v>54</v>
      </c>
      <c r="C16" s="15" t="s">
        <v>55</v>
      </c>
      <c r="D16" s="15" t="s">
        <v>42</v>
      </c>
      <c r="E16" s="15" t="s">
        <v>38</v>
      </c>
      <c r="F16" s="15">
        <v>9.137883007E9</v>
      </c>
      <c r="G16" s="15" t="s">
        <v>56</v>
      </c>
      <c r="H16" s="15">
        <v>2023.0</v>
      </c>
      <c r="I16" s="16" t="s">
        <v>23</v>
      </c>
      <c r="J16" s="17">
        <v>23.0</v>
      </c>
      <c r="K16" s="17">
        <v>28.0</v>
      </c>
      <c r="L16" s="17">
        <v>27.0</v>
      </c>
      <c r="M16" s="17">
        <v>27.0</v>
      </c>
      <c r="N16" s="17">
        <v>27.0</v>
      </c>
      <c r="O16" s="17">
        <v>22.0</v>
      </c>
      <c r="P16" s="18">
        <f t="array" ref="P16">IFERROR(
  COUNTIFS(Attendance_data!$B$4:$B$1000,P$4,
    INDIRECT("Attendance_data!" &amp; ADDRESS(4, MATCH($B16, Attendance_data!$E$3:$BI$3, 0) + 4) &amp; ":" &amp;
             ADDRESS(1000, MATCH($B16, Attendance_data!$E$3:$BI$3, 0) + 4)),
    "P"
  )
  /
  (
    COUNTIFS(
      Attendance_data!$B$4:$B$1000,P$4,
      INDIRECT("Attendance_data!" &amp; ADDRESS(4, MATCH($B16, Attendance_data!$E$3:$BI$3, 0) + 4) &amp; ":" &amp;
               ADDRESS(1000, MATCH($B16, Attendance_data!$E$3:$BI$3, 0) + 4)),
      "P"
    )
    +
    COUNTIFS(
      Attendance_data!$B$4:$B$1000,P$4,
      INDIRECT("Attendance_data!" &amp; ADDRESS(4, MATCH($B16, Attendance_data!$E$3:$BI$3, 0) + 4) &amp; ":" &amp;
               ADDRESS(1000, MATCH($B16, Attendance_data!$E$3:$BI$3, 0) + 4)),
      "A"
    )
  ),"")</f>
        <v>0.9047619048</v>
      </c>
      <c r="Q16" s="18">
        <f t="array" ref="Q16">IFERROR(
  COUNTIFS(Attendance_data!$B$4:$B$1000,Q$4,
    INDIRECT("Attendance_data!" &amp; ADDRESS(4, MATCH($B16, Attendance_data!$E$3:$BI$3, 0) + 4) &amp; ":" &amp;
             ADDRESS(1000, MATCH($B16, Attendance_data!$E$3:$BI$3, 0) + 4)),
    "P"
  )
  /
  (
    COUNTIFS(
      Attendance_data!$B$4:$B$1000,Q$4,
      INDIRECT("Attendance_data!" &amp; ADDRESS(4, MATCH($B16, Attendance_data!$E$3:$BI$3, 0) + 4) &amp; ":" &amp;
               ADDRESS(1000, MATCH($B16, Attendance_data!$E$3:$BI$3, 0) + 4)),
      "P"
    )
    +
    COUNTIFS(
      Attendance_data!$B$4:$B$1000,Q$4,
      INDIRECT("Attendance_data!" &amp; ADDRESS(4, MATCH($B16, Attendance_data!$E$3:$BI$3, 0) + 4) &amp; ":" &amp;
               ADDRESS(1000, MATCH($B16, Attendance_data!$E$3:$BI$3, 0) + 4)),
      "A"
    )
  ),"")</f>
        <v>0.5384615385</v>
      </c>
      <c r="R16" s="18">
        <f t="array" ref="R16">IFERROR(
  COUNTIFS(Attendance_data!$B$4:$B$1000,R$4,
    INDIRECT("Attendance_data!" &amp; ADDRESS(4, MATCH($B16, Attendance_data!$E$3:$BI$3, 0) + 4) &amp; ":" &amp;
             ADDRESS(1000, MATCH($B16, Attendance_data!$E$3:$BI$3, 0) + 4)),
    "P"
  )
  /
  (
    COUNTIFS(
      Attendance_data!$B$4:$B$1000,R$4,
      INDIRECT("Attendance_data!" &amp; ADDRESS(4, MATCH($B16, Attendance_data!$E$3:$BI$3, 0) + 4) &amp; ":" &amp;
               ADDRESS(1000, MATCH($B16, Attendance_data!$E$3:$BI$3, 0) + 4)),
      "P"
    )
    +
    COUNTIFS(
      Attendance_data!$B$4:$B$1000,R$4,
      INDIRECT("Attendance_data!" &amp; ADDRESS(4, MATCH($B16, Attendance_data!$E$3:$BI$3, 0) + 4) &amp; ":" &amp;
               ADDRESS(1000, MATCH($B16, Attendance_data!$E$3:$BI$3, 0) + 4)),
      "A"
    )
  ),"")</f>
        <v>0.7368421053</v>
      </c>
      <c r="S16" s="18">
        <f t="array" ref="S16">IFERROR(
  COUNTIFS(Attendance_data!$B$4:$B$1000,S$4,
    INDIRECT("Attendance_data!" &amp; ADDRESS(4, MATCH($B16, Attendance_data!$E$3:$BI$3, 0) + 4) &amp; ":" &amp;
             ADDRESS(1000, MATCH($B16, Attendance_data!$E$3:$BI$3, 0) + 4)),
    "P"
  )
  /
  (
    COUNTIFS(
      Attendance_data!$B$4:$B$1000,S$4,
      INDIRECT("Attendance_data!" &amp; ADDRESS(4, MATCH($B16, Attendance_data!$E$3:$BI$3, 0) + 4) &amp; ":" &amp;
               ADDRESS(1000, MATCH($B16, Attendance_data!$E$3:$BI$3, 0) + 4)),
      "P"
    )
    +
    COUNTIFS(
      Attendance_data!$B$4:$B$1000,S$4,
      INDIRECT("Attendance_data!" &amp; ADDRESS(4, MATCH($B16, Attendance_data!$E$3:$BI$3, 0) + 4) &amp; ":" &amp;
               ADDRESS(1000, MATCH($B16, Attendance_data!$E$3:$BI$3, 0) + 4)),
      "A"
    )
  ),"")</f>
        <v>0.8636363636</v>
      </c>
      <c r="T16" s="18">
        <f t="array" ref="T16">IFERROR(
  COUNTIFS(Attendance_data!$B$4:$B$1000,T$4,
    INDIRECT("Attendance_data!" &amp; ADDRESS(4, MATCH($B16, Attendance_data!$E$3:$BI$3, 0) + 4) &amp; ":" &amp;
             ADDRESS(1000, MATCH($B16, Attendance_data!$E$3:$BI$3, 0) + 4)),
    "P"
  )
  /
  (
    COUNTIFS(
      Attendance_data!$B$4:$B$1000,T$4,
      INDIRECT("Attendance_data!" &amp; ADDRESS(4, MATCH($B16, Attendance_data!$E$3:$BI$3, 0) + 4) &amp; ":" &amp;
               ADDRESS(1000, MATCH($B16, Attendance_data!$E$3:$BI$3, 0) + 4)),
      "P"
    )
    +
    COUNTIFS(
      Attendance_data!$B$4:$B$1000,T$4,
      INDIRECT("Attendance_data!" &amp; ADDRESS(4, MATCH($B16, Attendance_data!$E$3:$BI$3, 0) + 4) &amp; ":" &amp;
               ADDRESS(1000, MATCH($B16, Attendance_data!$E$3:$BI$3, 0) + 4)),
      "A"
    )
  ),"")</f>
        <v>1</v>
      </c>
      <c r="U16" s="18">
        <f t="array" ref="U16">IFERROR(
  COUNTIFS(Attendance_data!$B$4:$B$1000,U$4,
    INDIRECT("Attendance_data!" &amp; ADDRESS(4, MATCH($B16, Attendance_data!$E$3:$BI$3, 0) + 4) &amp; ":" &amp;
             ADDRESS(1000, MATCH($B16, Attendance_data!$E$3:$BI$3, 0) + 4)),
    "P"
  )
  /
  (
    COUNTIFS(
      Attendance_data!$B$4:$B$1000,U$4,
      INDIRECT("Attendance_data!" &amp; ADDRESS(4, MATCH($B16, Attendance_data!$E$3:$BI$3, 0) + 4) &amp; ":" &amp;
               ADDRESS(1000, MATCH($B16, Attendance_data!$E$3:$BI$3, 0) + 4)),
      "P"
    )
    +
    COUNTIFS(
      Attendance_data!$B$4:$B$1000,U$4,
      INDIRECT("Attendance_data!" &amp; ADDRESS(4, MATCH($B16, Attendance_data!$E$3:$BI$3, 0) + 4) &amp; ":" &amp;
               ADDRESS(1000, MATCH($B16, Attendance_data!$E$3:$BI$3, 0) + 4)),
      "A"
    )
  ),"")</f>
        <v>0.96</v>
      </c>
      <c r="V16" s="18">
        <f t="array" ref="V16">IFERROR(
  COUNTIFS(Attendance_data!$B$4:$B$1000,V$4,
    INDIRECT("Attendance_data!" &amp; ADDRESS(4, MATCH($B16, Attendance_data!$E$3:$BI$3, 0) + 4) &amp; ":" &amp;
             ADDRESS(1000, MATCH($B16, Attendance_data!$E$3:$BI$3, 0) + 4)),
    "P"
  )
  /
  (
    COUNTIFS(
      Attendance_data!$B$4:$B$1000,V$4,
      INDIRECT("Attendance_data!" &amp; ADDRESS(4, MATCH($B16, Attendance_data!$E$3:$BI$3, 0) + 4) &amp; ":" &amp;
               ADDRESS(1000, MATCH($B16, Attendance_data!$E$3:$BI$3, 0) + 4)),
      "P"
    )
    +
    COUNTIFS(
      Attendance_data!$B$4:$B$1000,V$4,
      INDIRECT("Attendance_data!" &amp; ADDRESS(4, MATCH($B16, Attendance_data!$E$3:$BI$3, 0) + 4) &amp; ":" &amp;
               ADDRESS(1000, MATCH($B16, Attendance_data!$E$3:$BI$3, 0) + 4)),
      "A"
    )
  ),"")</f>
        <v>0.88</v>
      </c>
      <c r="W16" s="18">
        <f t="array" ref="W16">IFERROR(
  COUNTIFS(Attendance_data!$B$4:$B$1000,W$4,
    INDIRECT("Attendance_data!" &amp; ADDRESS(4, MATCH($B16, Attendance_data!$E$3:$BI$3, 0) + 4) &amp; ":" &amp;
             ADDRESS(1000, MATCH($B16, Attendance_data!$E$3:$BI$3, 0) + 4)),
    "P"
  )
  /
  (
    COUNTIFS(
      Attendance_data!$B$4:$B$1000,W$4,
      INDIRECT("Attendance_data!" &amp; ADDRESS(4, MATCH($B16, Attendance_data!$E$3:$BI$3, 0) + 4) &amp; ":" &amp;
               ADDRESS(1000, MATCH($B16, Attendance_data!$E$3:$BI$3, 0) + 4)),
      "P"
    )
    +
    COUNTIFS(
      Attendance_data!$B$4:$B$1000,W$4,
      INDIRECT("Attendance_data!" &amp; ADDRESS(4, MATCH($B16, Attendance_data!$E$3:$BI$3, 0) + 4) &amp; ":" &amp;
               ADDRESS(1000, MATCH($B16, Attendance_data!$E$3:$BI$3, 0) + 4)),
      "A"
    )
  ),"")</f>
        <v>0.96</v>
      </c>
      <c r="X16" s="18">
        <f t="array" ref="X16">IFERROR(
  COUNTIFS(Attendance_data!$B$4:$B$1000,X$4,
    INDIRECT("Attendance_data!" &amp; ADDRESS(4, MATCH($B16, Attendance_data!$E$3:$BI$3, 0) + 4) &amp; ":" &amp;
             ADDRESS(1000, MATCH($B16, Attendance_data!$E$3:$BI$3, 0) + 4)),
    "P"
  )
  /
  (
    COUNTIFS(
      Attendance_data!$B$4:$B$1000,X$4,
      INDIRECT("Attendance_data!" &amp; ADDRESS(4, MATCH($B16, Attendance_data!$E$3:$BI$3, 0) + 4) &amp; ":" &amp;
               ADDRESS(1000, MATCH($B16, Attendance_data!$E$3:$BI$3, 0) + 4)),
      "P"
    )
    +
    COUNTIFS(
      Attendance_data!$B$4:$B$1000,X$4,
      INDIRECT("Attendance_data!" &amp; ADDRESS(4, MATCH($B16, Attendance_data!$E$3:$BI$3, 0) + 4) &amp; ":" &amp;
               ADDRESS(1000, MATCH($B16, Attendance_data!$E$3:$BI$3, 0) + 4)),
      "A"
    )
  ),"")</f>
        <v>0.8571428571</v>
      </c>
      <c r="Y16" s="18">
        <f t="array" ref="Y16">IFERROR(
  COUNTIFS(Attendance_data!$B$4:$B$1000,Y$4,
    INDIRECT("Attendance_data!" &amp; ADDRESS(4, MATCH($B16, Attendance_data!$E$3:$BI$3, 0) + 4) &amp; ":" &amp;
             ADDRESS(1000, MATCH($B16, Attendance_data!$E$3:$BI$3, 0) + 4)),
    "P"
  )
  /
  (
    COUNTIFS(
      Attendance_data!$B$4:$B$1000,Y$4,
      INDIRECT("Attendance_data!" &amp; ADDRESS(4, MATCH($B16, Attendance_data!$E$3:$BI$3, 0) + 4) &amp; ":" &amp;
               ADDRESS(1000, MATCH($B16, Attendance_data!$E$3:$BI$3, 0) + 4)),
      "P"
    )
    +
    COUNTIFS(
      Attendance_data!$B$4:$B$1000,Y$4,
      INDIRECT("Attendance_data!" &amp; ADDRESS(4, MATCH($B16, Attendance_data!$E$3:$BI$3, 0) + 4) &amp; ":" &amp;
               ADDRESS(1000, MATCH($B16, Attendance_data!$E$3:$BI$3, 0) + 4)),
      "A"
    )
  ),"")</f>
        <v>0.8333333333</v>
      </c>
      <c r="Z16" s="18">
        <f t="array" ref="Z16">IFERROR(
  COUNTIFS(Attendance_data!$B$4:$B$1000,Z$4,
    INDIRECT("Attendance_data!" &amp; ADDRESS(4, MATCH($B16, Attendance_data!$E$3:$BI$3, 0) + 4) &amp; ":" &amp;
             ADDRESS(1000, MATCH($B16, Attendance_data!$E$3:$BI$3, 0) + 4)),
    "P"
  )
  /
  (
    COUNTIFS(
      Attendance_data!$B$4:$B$1000,Z$4,
      INDIRECT("Attendance_data!" &amp; ADDRESS(4, MATCH($B16, Attendance_data!$E$3:$BI$3, 0) + 4) &amp; ":" &amp;
               ADDRESS(1000, MATCH($B16, Attendance_data!$E$3:$BI$3, 0) + 4)),
      "P"
    )
    +
    COUNTIFS(
      Attendance_data!$B$4:$B$1000,Z$4,
      INDIRECT("Attendance_data!" &amp; ADDRESS(4, MATCH($B16, Attendance_data!$E$3:$BI$3, 0) + 4) &amp; ":" &amp;
               ADDRESS(1000, MATCH($B16, Attendance_data!$E$3:$BI$3, 0) + 4)),
      "A"
    )
  ),"")</f>
        <v>1</v>
      </c>
      <c r="AA16" s="18" t="str">
        <f t="array" ref="AA16">IFERROR(
  COUNTIFS(Attendance_data!$B$4:$B$1000,AA$4,
    INDIRECT("Attendance_data!" &amp; ADDRESS(4, MATCH($B16, Attendance_data!$E$3:$BI$3, 0) + 4) &amp; ":" &amp;
             ADDRESS(1000, MATCH($B16, Attendance_data!$E$3:$BI$3, 0) + 4)),
    "P"
  )
  /
  (
    COUNTIFS(
      Attendance_data!$B$4:$B$1000,AA$4,
      INDIRECT("Attendance_data!" &amp; ADDRESS(4, MATCH($B16, Attendance_data!$E$3:$BI$3, 0) + 4) &amp; ":" &amp;
               ADDRESS(1000, MATCH($B16, Attendance_data!$E$3:$BI$3, 0) + 4)),
      "P"
    )
    +
    COUNTIFS(
      Attendance_data!$B$4:$B$1000,AA$4,
      INDIRECT("Attendance_data!" &amp; ADDRESS(4, MATCH($B16, Attendance_data!$E$3:$BI$3, 0) + 4) &amp; ":" &amp;
               ADDRESS(1000, MATCH($B16, Attendance_data!$E$3:$BI$3, 0) + 4)),
      "A"
    )
  ),"")</f>
        <v/>
      </c>
      <c r="AB16" s="19">
        <f t="shared" si="3"/>
        <v>0.8667434639</v>
      </c>
      <c r="AC16" s="1"/>
      <c r="AD16" s="1"/>
      <c r="AE16" s="1"/>
      <c r="AF16" s="1"/>
      <c r="AG16" s="1"/>
      <c r="AH16" s="1"/>
    </row>
    <row r="17">
      <c r="A17" s="14">
        <f t="shared" si="2"/>
        <v>13</v>
      </c>
      <c r="B17" s="15" t="s">
        <v>57</v>
      </c>
      <c r="C17" s="15" t="s">
        <v>58</v>
      </c>
      <c r="D17" s="15" t="s">
        <v>59</v>
      </c>
      <c r="E17" s="15" t="s">
        <v>21</v>
      </c>
      <c r="F17" s="15">
        <v>7.021773274E9</v>
      </c>
      <c r="G17" s="15" t="s">
        <v>60</v>
      </c>
      <c r="H17" s="15">
        <v>2023.0</v>
      </c>
      <c r="I17" s="16" t="s">
        <v>23</v>
      </c>
      <c r="J17" s="17">
        <v>15.0</v>
      </c>
      <c r="K17" s="17">
        <v>25.0</v>
      </c>
      <c r="L17" s="17">
        <v>26.0</v>
      </c>
      <c r="M17" s="17">
        <v>15.0</v>
      </c>
      <c r="N17" s="17">
        <v>27.0</v>
      </c>
      <c r="O17" s="17">
        <v>20.0</v>
      </c>
      <c r="P17" s="18">
        <f t="array" ref="P17">IFERROR(
  COUNTIFS(Attendance_data!$B$4:$B$1000,P$4,
    INDIRECT("Attendance_data!" &amp; ADDRESS(4, MATCH($B17, Attendance_data!$E$3:$BI$3, 0) + 4) &amp; ":" &amp;
             ADDRESS(1000, MATCH($B17, Attendance_data!$E$3:$BI$3, 0) + 4)),
    "P"
  )
  /
  (
    COUNTIFS(
      Attendance_data!$B$4:$B$1000,P$4,
      INDIRECT("Attendance_data!" &amp; ADDRESS(4, MATCH($B17, Attendance_data!$E$3:$BI$3, 0) + 4) &amp; ":" &amp;
               ADDRESS(1000, MATCH($B17, Attendance_data!$E$3:$BI$3, 0) + 4)),
      "P"
    )
    +
    COUNTIFS(
      Attendance_data!$B$4:$B$1000,P$4,
      INDIRECT("Attendance_data!" &amp; ADDRESS(4, MATCH($B17, Attendance_data!$E$3:$BI$3, 0) + 4) &amp; ":" &amp;
               ADDRESS(1000, MATCH($B17, Attendance_data!$E$3:$BI$3, 0) + 4)),
      "A"
    )
  ),"")</f>
        <v>0.7142857143</v>
      </c>
      <c r="Q17" s="18">
        <f t="array" ref="Q17">IFERROR(
  COUNTIFS(Attendance_data!$B$4:$B$1000,Q$4,
    INDIRECT("Attendance_data!" &amp; ADDRESS(4, MATCH($B17, Attendance_data!$E$3:$BI$3, 0) + 4) &amp; ":" &amp;
             ADDRESS(1000, MATCH($B17, Attendance_data!$E$3:$BI$3, 0) + 4)),
    "P"
  )
  /
  (
    COUNTIFS(
      Attendance_data!$B$4:$B$1000,Q$4,
      INDIRECT("Attendance_data!" &amp; ADDRESS(4, MATCH($B17, Attendance_data!$E$3:$BI$3, 0) + 4) &amp; ":" &amp;
               ADDRESS(1000, MATCH($B17, Attendance_data!$E$3:$BI$3, 0) + 4)),
      "P"
    )
    +
    COUNTIFS(
      Attendance_data!$B$4:$B$1000,Q$4,
      INDIRECT("Attendance_data!" &amp; ADDRESS(4, MATCH($B17, Attendance_data!$E$3:$BI$3, 0) + 4) &amp; ":" &amp;
               ADDRESS(1000, MATCH($B17, Attendance_data!$E$3:$BI$3, 0) + 4)),
      "A"
    )
  ),"")</f>
        <v>0.5</v>
      </c>
      <c r="R17" s="18">
        <f t="array" ref="R17">IFERROR(
  COUNTIFS(Attendance_data!$B$4:$B$1000,R$4,
    INDIRECT("Attendance_data!" &amp; ADDRESS(4, MATCH($B17, Attendance_data!$E$3:$BI$3, 0) + 4) &amp; ":" &amp;
             ADDRESS(1000, MATCH($B17, Attendance_data!$E$3:$BI$3, 0) + 4)),
    "P"
  )
  /
  (
    COUNTIFS(
      Attendance_data!$B$4:$B$1000,R$4,
      INDIRECT("Attendance_data!" &amp; ADDRESS(4, MATCH($B17, Attendance_data!$E$3:$BI$3, 0) + 4) &amp; ":" &amp;
               ADDRESS(1000, MATCH($B17, Attendance_data!$E$3:$BI$3, 0) + 4)),
      "P"
    )
    +
    COUNTIFS(
      Attendance_data!$B$4:$B$1000,R$4,
      INDIRECT("Attendance_data!" &amp; ADDRESS(4, MATCH($B17, Attendance_data!$E$3:$BI$3, 0) + 4) &amp; ":" &amp;
               ADDRESS(1000, MATCH($B17, Attendance_data!$E$3:$BI$3, 0) + 4)),
      "A"
    )
  ),"")</f>
        <v>0.9473684211</v>
      </c>
      <c r="S17" s="18">
        <f t="array" ref="S17">IFERROR(
  COUNTIFS(Attendance_data!$B$4:$B$1000,S$4,
    INDIRECT("Attendance_data!" &amp; ADDRESS(4, MATCH($B17, Attendance_data!$E$3:$BI$3, 0) + 4) &amp; ":" &amp;
             ADDRESS(1000, MATCH($B17, Attendance_data!$E$3:$BI$3, 0) + 4)),
    "P"
  )
  /
  (
    COUNTIFS(
      Attendance_data!$B$4:$B$1000,S$4,
      INDIRECT("Attendance_data!" &amp; ADDRESS(4, MATCH($B17, Attendance_data!$E$3:$BI$3, 0) + 4) &amp; ":" &amp;
               ADDRESS(1000, MATCH($B17, Attendance_data!$E$3:$BI$3, 0) + 4)),
      "P"
    )
    +
    COUNTIFS(
      Attendance_data!$B$4:$B$1000,S$4,
      INDIRECT("Attendance_data!" &amp; ADDRESS(4, MATCH($B17, Attendance_data!$E$3:$BI$3, 0) + 4) &amp; ":" &amp;
               ADDRESS(1000, MATCH($B17, Attendance_data!$E$3:$BI$3, 0) + 4)),
      "A"
    )
  ),"")</f>
        <v>0.9545454545</v>
      </c>
      <c r="T17" s="18">
        <f t="array" ref="T17">IFERROR(
  COUNTIFS(Attendance_data!$B$4:$B$1000,T$4,
    INDIRECT("Attendance_data!" &amp; ADDRESS(4, MATCH($B17, Attendance_data!$E$3:$BI$3, 0) + 4) &amp; ":" &amp;
             ADDRESS(1000, MATCH($B17, Attendance_data!$E$3:$BI$3, 0) + 4)),
    "P"
  )
  /
  (
    COUNTIFS(
      Attendance_data!$B$4:$B$1000,T$4,
      INDIRECT("Attendance_data!" &amp; ADDRESS(4, MATCH($B17, Attendance_data!$E$3:$BI$3, 0) + 4) &amp; ":" &amp;
               ADDRESS(1000, MATCH($B17, Attendance_data!$E$3:$BI$3, 0) + 4)),
      "P"
    )
    +
    COUNTIFS(
      Attendance_data!$B$4:$B$1000,T$4,
      INDIRECT("Attendance_data!" &amp; ADDRESS(4, MATCH($B17, Attendance_data!$E$3:$BI$3, 0) + 4) &amp; ":" &amp;
               ADDRESS(1000, MATCH($B17, Attendance_data!$E$3:$BI$3, 0) + 4)),
      "A"
    )
  ),"")</f>
        <v>0.95</v>
      </c>
      <c r="U17" s="18">
        <f t="array" ref="U17">IFERROR(
  COUNTIFS(Attendance_data!$B$4:$B$1000,U$4,
    INDIRECT("Attendance_data!" &amp; ADDRESS(4, MATCH($B17, Attendance_data!$E$3:$BI$3, 0) + 4) &amp; ":" &amp;
             ADDRESS(1000, MATCH($B17, Attendance_data!$E$3:$BI$3, 0) + 4)),
    "P"
  )
  /
  (
    COUNTIFS(
      Attendance_data!$B$4:$B$1000,U$4,
      INDIRECT("Attendance_data!" &amp; ADDRESS(4, MATCH($B17, Attendance_data!$E$3:$BI$3, 0) + 4) &amp; ":" &amp;
               ADDRESS(1000, MATCH($B17, Attendance_data!$E$3:$BI$3, 0) + 4)),
      "P"
    )
    +
    COUNTIFS(
      Attendance_data!$B$4:$B$1000,U$4,
      INDIRECT("Attendance_data!" &amp; ADDRESS(4, MATCH($B17, Attendance_data!$E$3:$BI$3, 0) + 4) &amp; ":" &amp;
               ADDRESS(1000, MATCH($B17, Attendance_data!$E$3:$BI$3, 0) + 4)),
      "A"
    )
  ),"")</f>
        <v>0.92</v>
      </c>
      <c r="V17" s="18">
        <f t="array" ref="V17">IFERROR(
  COUNTIFS(Attendance_data!$B$4:$B$1000,V$4,
    INDIRECT("Attendance_data!" &amp; ADDRESS(4, MATCH($B17, Attendance_data!$E$3:$BI$3, 0) + 4) &amp; ":" &amp;
             ADDRESS(1000, MATCH($B17, Attendance_data!$E$3:$BI$3, 0) + 4)),
    "P"
  )
  /
  (
    COUNTIFS(
      Attendance_data!$B$4:$B$1000,V$4,
      INDIRECT("Attendance_data!" &amp; ADDRESS(4, MATCH($B17, Attendance_data!$E$3:$BI$3, 0) + 4) &amp; ":" &amp;
               ADDRESS(1000, MATCH($B17, Attendance_data!$E$3:$BI$3, 0) + 4)),
      "P"
    )
    +
    COUNTIFS(
      Attendance_data!$B$4:$B$1000,V$4,
      INDIRECT("Attendance_data!" &amp; ADDRESS(4, MATCH($B17, Attendance_data!$E$3:$BI$3, 0) + 4) &amp; ":" &amp;
               ADDRESS(1000, MATCH($B17, Attendance_data!$E$3:$BI$3, 0) + 4)),
      "A"
    )
  ),"")</f>
        <v>0.92</v>
      </c>
      <c r="W17" s="18">
        <f t="array" ref="W17">IFERROR(
  COUNTIFS(Attendance_data!$B$4:$B$1000,W$4,
    INDIRECT("Attendance_data!" &amp; ADDRESS(4, MATCH($B17, Attendance_data!$E$3:$BI$3, 0) + 4) &amp; ":" &amp;
             ADDRESS(1000, MATCH($B17, Attendance_data!$E$3:$BI$3, 0) + 4)),
    "P"
  )
  /
  (
    COUNTIFS(
      Attendance_data!$B$4:$B$1000,W$4,
      INDIRECT("Attendance_data!" &amp; ADDRESS(4, MATCH($B17, Attendance_data!$E$3:$BI$3, 0) + 4) &amp; ":" &amp;
               ADDRESS(1000, MATCH($B17, Attendance_data!$E$3:$BI$3, 0) + 4)),
      "P"
    )
    +
    COUNTIFS(
      Attendance_data!$B$4:$B$1000,W$4,
      INDIRECT("Attendance_data!" &amp; ADDRESS(4, MATCH($B17, Attendance_data!$E$3:$BI$3, 0) + 4) &amp; ":" &amp;
               ADDRESS(1000, MATCH($B17, Attendance_data!$E$3:$BI$3, 0) + 4)),
      "A"
    )
  ),"")</f>
        <v>1</v>
      </c>
      <c r="X17" s="18">
        <f t="array" ref="X17">IFERROR(
  COUNTIFS(Attendance_data!$B$4:$B$1000,X$4,
    INDIRECT("Attendance_data!" &amp; ADDRESS(4, MATCH($B17, Attendance_data!$E$3:$BI$3, 0) + 4) &amp; ":" &amp;
             ADDRESS(1000, MATCH($B17, Attendance_data!$E$3:$BI$3, 0) + 4)),
    "P"
  )
  /
  (
    COUNTIFS(
      Attendance_data!$B$4:$B$1000,X$4,
      INDIRECT("Attendance_data!" &amp; ADDRESS(4, MATCH($B17, Attendance_data!$E$3:$BI$3, 0) + 4) &amp; ":" &amp;
               ADDRESS(1000, MATCH($B17, Attendance_data!$E$3:$BI$3, 0) + 4)),
      "P"
    )
    +
    COUNTIFS(
      Attendance_data!$B$4:$B$1000,X$4,
      INDIRECT("Attendance_data!" &amp; ADDRESS(4, MATCH($B17, Attendance_data!$E$3:$BI$3, 0) + 4) &amp; ":" &amp;
               ADDRESS(1000, MATCH($B17, Attendance_data!$E$3:$BI$3, 0) + 4)),
      "A"
    )
  ),"")</f>
        <v>1</v>
      </c>
      <c r="Y17" s="18">
        <f t="array" ref="Y17">IFERROR(
  COUNTIFS(Attendance_data!$B$4:$B$1000,Y$4,
    INDIRECT("Attendance_data!" &amp; ADDRESS(4, MATCH($B17, Attendance_data!$E$3:$BI$3, 0) + 4) &amp; ":" &amp;
             ADDRESS(1000, MATCH($B17, Attendance_data!$E$3:$BI$3, 0) + 4)),
    "P"
  )
  /
  (
    COUNTIFS(
      Attendance_data!$B$4:$B$1000,Y$4,
      INDIRECT("Attendance_data!" &amp; ADDRESS(4, MATCH($B17, Attendance_data!$E$3:$BI$3, 0) + 4) &amp; ":" &amp;
               ADDRESS(1000, MATCH($B17, Attendance_data!$E$3:$BI$3, 0) + 4)),
      "P"
    )
    +
    COUNTIFS(
      Attendance_data!$B$4:$B$1000,Y$4,
      INDIRECT("Attendance_data!" &amp; ADDRESS(4, MATCH($B17, Attendance_data!$E$3:$BI$3, 0) + 4) &amp; ":" &amp;
               ADDRESS(1000, MATCH($B17, Attendance_data!$E$3:$BI$3, 0) + 4)),
      "A"
    )
  ),"")</f>
        <v>0.9583333333</v>
      </c>
      <c r="Z17" s="18">
        <f t="array" ref="Z17">IFERROR(
  COUNTIFS(Attendance_data!$B$4:$B$1000,Z$4,
    INDIRECT("Attendance_data!" &amp; ADDRESS(4, MATCH($B17, Attendance_data!$E$3:$BI$3, 0) + 4) &amp; ":" &amp;
             ADDRESS(1000, MATCH($B17, Attendance_data!$E$3:$BI$3, 0) + 4)),
    "P"
  )
  /
  (
    COUNTIFS(
      Attendance_data!$B$4:$B$1000,Z$4,
      INDIRECT("Attendance_data!" &amp; ADDRESS(4, MATCH($B17, Attendance_data!$E$3:$BI$3, 0) + 4) &amp; ":" &amp;
               ADDRESS(1000, MATCH($B17, Attendance_data!$E$3:$BI$3, 0) + 4)),
      "P"
    )
    +
    COUNTIFS(
      Attendance_data!$B$4:$B$1000,Z$4,
      INDIRECT("Attendance_data!" &amp; ADDRESS(4, MATCH($B17, Attendance_data!$E$3:$BI$3, 0) + 4) &amp; ":" &amp;
               ADDRESS(1000, MATCH($B17, Attendance_data!$E$3:$BI$3, 0) + 4)),
      "A"
    )
  ),"")</f>
        <v>0.8888888889</v>
      </c>
      <c r="AA17" s="18" t="str">
        <f t="array" ref="AA17">IFERROR(
  COUNTIFS(Attendance_data!$B$4:$B$1000,AA$4,
    INDIRECT("Attendance_data!" &amp; ADDRESS(4, MATCH($B17, Attendance_data!$E$3:$BI$3, 0) + 4) &amp; ":" &amp;
             ADDRESS(1000, MATCH($B17, Attendance_data!$E$3:$BI$3, 0) + 4)),
    "P"
  )
  /
  (
    COUNTIFS(
      Attendance_data!$B$4:$B$1000,AA$4,
      INDIRECT("Attendance_data!" &amp; ADDRESS(4, MATCH($B17, Attendance_data!$E$3:$BI$3, 0) + 4) &amp; ":" &amp;
               ADDRESS(1000, MATCH($B17, Attendance_data!$E$3:$BI$3, 0) + 4)),
      "P"
    )
    +
    COUNTIFS(
      Attendance_data!$B$4:$B$1000,AA$4,
      INDIRECT("Attendance_data!" &amp; ADDRESS(4, MATCH($B17, Attendance_data!$E$3:$BI$3, 0) + 4) &amp; ":" &amp;
               ADDRESS(1000, MATCH($B17, Attendance_data!$E$3:$BI$3, 0) + 4)),
      "A"
    )
  ),"")</f>
        <v/>
      </c>
      <c r="AB17" s="19">
        <f t="shared" si="3"/>
        <v>0.8866747102</v>
      </c>
      <c r="AC17" s="1"/>
      <c r="AD17" s="1"/>
      <c r="AE17" s="1"/>
      <c r="AF17" s="1"/>
      <c r="AG17" s="1"/>
      <c r="AH17" s="1"/>
    </row>
    <row r="18">
      <c r="A18" s="14">
        <f t="shared" si="2"/>
        <v>14</v>
      </c>
      <c r="B18" s="15" t="s">
        <v>61</v>
      </c>
      <c r="C18" s="15" t="s">
        <v>62</v>
      </c>
      <c r="D18" s="15" t="s">
        <v>20</v>
      </c>
      <c r="E18" s="15" t="s">
        <v>38</v>
      </c>
      <c r="F18" s="15">
        <v>9.987974116E9</v>
      </c>
      <c r="G18" s="15" t="s">
        <v>63</v>
      </c>
      <c r="H18" s="15">
        <v>2024.0</v>
      </c>
      <c r="I18" s="16" t="s">
        <v>23</v>
      </c>
      <c r="J18" s="17">
        <v>28.0</v>
      </c>
      <c r="K18" s="17">
        <v>27.0</v>
      </c>
      <c r="L18" s="17">
        <v>29.0</v>
      </c>
      <c r="M18" s="17">
        <v>29.0</v>
      </c>
      <c r="N18" s="17">
        <v>30.0</v>
      </c>
      <c r="O18" s="17">
        <v>24.0</v>
      </c>
      <c r="P18" s="18">
        <f t="array" ref="P18">IFERROR(
  COUNTIFS(Attendance_data!$B$4:$B$1000,P$4,
    INDIRECT("Attendance_data!" &amp; ADDRESS(4, MATCH($B18, Attendance_data!$E$3:$BI$3, 0) + 4) &amp; ":" &amp;
             ADDRESS(1000, MATCH($B18, Attendance_data!$E$3:$BI$3, 0) + 4)),
    "P"
  )
  /
  (
    COUNTIFS(
      Attendance_data!$B$4:$B$1000,P$4,
      INDIRECT("Attendance_data!" &amp; ADDRESS(4, MATCH($B18, Attendance_data!$E$3:$BI$3, 0) + 4) &amp; ":" &amp;
               ADDRESS(1000, MATCH($B18, Attendance_data!$E$3:$BI$3, 0) + 4)),
      "P"
    )
    +
    COUNTIFS(
      Attendance_data!$B$4:$B$1000,P$4,
      INDIRECT("Attendance_data!" &amp; ADDRESS(4, MATCH($B18, Attendance_data!$E$3:$BI$3, 0) + 4) &amp; ":" &amp;
               ADDRESS(1000, MATCH($B18, Attendance_data!$E$3:$BI$3, 0) + 4)),
      "A"
    )
  ),"")</f>
        <v>0.9047619048</v>
      </c>
      <c r="Q18" s="18">
        <f t="array" ref="Q18">IFERROR(
  COUNTIFS(Attendance_data!$B$4:$B$1000,Q$4,
    INDIRECT("Attendance_data!" &amp; ADDRESS(4, MATCH($B18, Attendance_data!$E$3:$BI$3, 0) + 4) &amp; ":" &amp;
             ADDRESS(1000, MATCH($B18, Attendance_data!$E$3:$BI$3, 0) + 4)),
    "P"
  )
  /
  (
    COUNTIFS(
      Attendance_data!$B$4:$B$1000,Q$4,
      INDIRECT("Attendance_data!" &amp; ADDRESS(4, MATCH($B18, Attendance_data!$E$3:$BI$3, 0) + 4) &amp; ":" &amp;
               ADDRESS(1000, MATCH($B18, Attendance_data!$E$3:$BI$3, 0) + 4)),
      "P"
    )
    +
    COUNTIFS(
      Attendance_data!$B$4:$B$1000,Q$4,
      INDIRECT("Attendance_data!" &amp; ADDRESS(4, MATCH($B18, Attendance_data!$E$3:$BI$3, 0) + 4) &amp; ":" &amp;
               ADDRESS(1000, MATCH($B18, Attendance_data!$E$3:$BI$3, 0) + 4)),
      "A"
    )
  ),"")</f>
        <v>0.8846153846</v>
      </c>
      <c r="R18" s="18">
        <f t="array" ref="R18">IFERROR(
  COUNTIFS(Attendance_data!$B$4:$B$1000,R$4,
    INDIRECT("Attendance_data!" &amp; ADDRESS(4, MATCH($B18, Attendance_data!$E$3:$BI$3, 0) + 4) &amp; ":" &amp;
             ADDRESS(1000, MATCH($B18, Attendance_data!$E$3:$BI$3, 0) + 4)),
    "P"
  )
  /
  (
    COUNTIFS(
      Attendance_data!$B$4:$B$1000,R$4,
      INDIRECT("Attendance_data!" &amp; ADDRESS(4, MATCH($B18, Attendance_data!$E$3:$BI$3, 0) + 4) &amp; ":" &amp;
               ADDRESS(1000, MATCH($B18, Attendance_data!$E$3:$BI$3, 0) + 4)),
      "P"
    )
    +
    COUNTIFS(
      Attendance_data!$B$4:$B$1000,R$4,
      INDIRECT("Attendance_data!" &amp; ADDRESS(4, MATCH($B18, Attendance_data!$E$3:$BI$3, 0) + 4) &amp; ":" &amp;
               ADDRESS(1000, MATCH($B18, Attendance_data!$E$3:$BI$3, 0) + 4)),
      "A"
    )
  ),"")</f>
        <v>0.6842105263</v>
      </c>
      <c r="S18" s="18">
        <f t="array" ref="S18">IFERROR(
  COUNTIFS(Attendance_data!$B$4:$B$1000,S$4,
    INDIRECT("Attendance_data!" &amp; ADDRESS(4, MATCH($B18, Attendance_data!$E$3:$BI$3, 0) + 4) &amp; ":" &amp;
             ADDRESS(1000, MATCH($B18, Attendance_data!$E$3:$BI$3, 0) + 4)),
    "P"
  )
  /
  (
    COUNTIFS(
      Attendance_data!$B$4:$B$1000,S$4,
      INDIRECT("Attendance_data!" &amp; ADDRESS(4, MATCH($B18, Attendance_data!$E$3:$BI$3, 0) + 4) &amp; ":" &amp;
               ADDRESS(1000, MATCH($B18, Attendance_data!$E$3:$BI$3, 0) + 4)),
      "P"
    )
    +
    COUNTIFS(
      Attendance_data!$B$4:$B$1000,S$4,
      INDIRECT("Attendance_data!" &amp; ADDRESS(4, MATCH($B18, Attendance_data!$E$3:$BI$3, 0) + 4) &amp; ":" &amp;
               ADDRESS(1000, MATCH($B18, Attendance_data!$E$3:$BI$3, 0) + 4)),
      "A"
    )
  ),"")</f>
        <v>0.7272727273</v>
      </c>
      <c r="T18" s="18">
        <f t="array" ref="T18">IFERROR(
  COUNTIFS(Attendance_data!$B$4:$B$1000,T$4,
    INDIRECT("Attendance_data!" &amp; ADDRESS(4, MATCH($B18, Attendance_data!$E$3:$BI$3, 0) + 4) &amp; ":" &amp;
             ADDRESS(1000, MATCH($B18, Attendance_data!$E$3:$BI$3, 0) + 4)),
    "P"
  )
  /
  (
    COUNTIFS(
      Attendance_data!$B$4:$B$1000,T$4,
      INDIRECT("Attendance_data!" &amp; ADDRESS(4, MATCH($B18, Attendance_data!$E$3:$BI$3, 0) + 4) &amp; ":" &amp;
               ADDRESS(1000, MATCH($B18, Attendance_data!$E$3:$BI$3, 0) + 4)),
      "P"
    )
    +
    COUNTIFS(
      Attendance_data!$B$4:$B$1000,T$4,
      INDIRECT("Attendance_data!" &amp; ADDRESS(4, MATCH($B18, Attendance_data!$E$3:$BI$3, 0) + 4) &amp; ":" &amp;
               ADDRESS(1000, MATCH($B18, Attendance_data!$E$3:$BI$3, 0) + 4)),
      "A"
    )
  ),"")</f>
        <v>0.7</v>
      </c>
      <c r="U18" s="18">
        <f t="array" ref="U18">IFERROR(
  COUNTIFS(Attendance_data!$B$4:$B$1000,U$4,
    INDIRECT("Attendance_data!" &amp; ADDRESS(4, MATCH($B18, Attendance_data!$E$3:$BI$3, 0) + 4) &amp; ":" &amp;
             ADDRESS(1000, MATCH($B18, Attendance_data!$E$3:$BI$3, 0) + 4)),
    "P"
  )
  /
  (
    COUNTIFS(
      Attendance_data!$B$4:$B$1000,U$4,
      INDIRECT("Attendance_data!" &amp; ADDRESS(4, MATCH($B18, Attendance_data!$E$3:$BI$3, 0) + 4) &amp; ":" &amp;
               ADDRESS(1000, MATCH($B18, Attendance_data!$E$3:$BI$3, 0) + 4)),
      "P"
    )
    +
    COUNTIFS(
      Attendance_data!$B$4:$B$1000,U$4,
      INDIRECT("Attendance_data!" &amp; ADDRESS(4, MATCH($B18, Attendance_data!$E$3:$BI$3, 0) + 4) &amp; ":" &amp;
               ADDRESS(1000, MATCH($B18, Attendance_data!$E$3:$BI$3, 0) + 4)),
      "A"
    )
  ),"")</f>
        <v>0.96</v>
      </c>
      <c r="V18" s="18">
        <f t="array" ref="V18">IFERROR(
  COUNTIFS(Attendance_data!$B$4:$B$1000,V$4,
    INDIRECT("Attendance_data!" &amp; ADDRESS(4, MATCH($B18, Attendance_data!$E$3:$BI$3, 0) + 4) &amp; ":" &amp;
             ADDRESS(1000, MATCH($B18, Attendance_data!$E$3:$BI$3, 0) + 4)),
    "P"
  )
  /
  (
    COUNTIFS(
      Attendance_data!$B$4:$B$1000,V$4,
      INDIRECT("Attendance_data!" &amp; ADDRESS(4, MATCH($B18, Attendance_data!$E$3:$BI$3, 0) + 4) &amp; ":" &amp;
               ADDRESS(1000, MATCH($B18, Attendance_data!$E$3:$BI$3, 0) + 4)),
      "P"
    )
    +
    COUNTIFS(
      Attendance_data!$B$4:$B$1000,V$4,
      INDIRECT("Attendance_data!" &amp; ADDRESS(4, MATCH($B18, Attendance_data!$E$3:$BI$3, 0) + 4) &amp; ":" &amp;
               ADDRESS(1000, MATCH($B18, Attendance_data!$E$3:$BI$3, 0) + 4)),
      "A"
    )
  ),"")</f>
        <v>0.84</v>
      </c>
      <c r="W18" s="18">
        <f t="array" ref="W18">IFERROR(
  COUNTIFS(Attendance_data!$B$4:$B$1000,W$4,
    INDIRECT("Attendance_data!" &amp; ADDRESS(4, MATCH($B18, Attendance_data!$E$3:$BI$3, 0) + 4) &amp; ":" &amp;
             ADDRESS(1000, MATCH($B18, Attendance_data!$E$3:$BI$3, 0) + 4)),
    "P"
  )
  /
  (
    COUNTIFS(
      Attendance_data!$B$4:$B$1000,W$4,
      INDIRECT("Attendance_data!" &amp; ADDRESS(4, MATCH($B18, Attendance_data!$E$3:$BI$3, 0) + 4) &amp; ":" &amp;
               ADDRESS(1000, MATCH($B18, Attendance_data!$E$3:$BI$3, 0) + 4)),
      "P"
    )
    +
    COUNTIFS(
      Attendance_data!$B$4:$B$1000,W$4,
      INDIRECT("Attendance_data!" &amp; ADDRESS(4, MATCH($B18, Attendance_data!$E$3:$BI$3, 0) + 4) &amp; ":" &amp;
               ADDRESS(1000, MATCH($B18, Attendance_data!$E$3:$BI$3, 0) + 4)),
      "A"
    )
  ),"")</f>
        <v>0.84</v>
      </c>
      <c r="X18" s="18">
        <f t="array" ref="X18">IFERROR(
  COUNTIFS(Attendance_data!$B$4:$B$1000,X$4,
    INDIRECT("Attendance_data!" &amp; ADDRESS(4, MATCH($B18, Attendance_data!$E$3:$BI$3, 0) + 4) &amp; ":" &amp;
             ADDRESS(1000, MATCH($B18, Attendance_data!$E$3:$BI$3, 0) + 4)),
    "P"
  )
  /
  (
    COUNTIFS(
      Attendance_data!$B$4:$B$1000,X$4,
      INDIRECT("Attendance_data!" &amp; ADDRESS(4, MATCH($B18, Attendance_data!$E$3:$BI$3, 0) + 4) &amp; ":" &amp;
               ADDRESS(1000, MATCH($B18, Attendance_data!$E$3:$BI$3, 0) + 4)),
      "P"
    )
    +
    COUNTIFS(
      Attendance_data!$B$4:$B$1000,X$4,
      INDIRECT("Attendance_data!" &amp; ADDRESS(4, MATCH($B18, Attendance_data!$E$3:$BI$3, 0) + 4) &amp; ":" &amp;
               ADDRESS(1000, MATCH($B18, Attendance_data!$E$3:$BI$3, 0) + 4)),
      "A"
    )
  ),"")</f>
        <v>0.9523809524</v>
      </c>
      <c r="Y18" s="18">
        <f t="array" ref="Y18">IFERROR(
  COUNTIFS(Attendance_data!$B$4:$B$1000,Y$4,
    INDIRECT("Attendance_data!" &amp; ADDRESS(4, MATCH($B18, Attendance_data!$E$3:$BI$3, 0) + 4) &amp; ":" &amp;
             ADDRESS(1000, MATCH($B18, Attendance_data!$E$3:$BI$3, 0) + 4)),
    "P"
  )
  /
  (
    COUNTIFS(
      Attendance_data!$B$4:$B$1000,Y$4,
      INDIRECT("Attendance_data!" &amp; ADDRESS(4, MATCH($B18, Attendance_data!$E$3:$BI$3, 0) + 4) &amp; ":" &amp;
               ADDRESS(1000, MATCH($B18, Attendance_data!$E$3:$BI$3, 0) + 4)),
      "P"
    )
    +
    COUNTIFS(
      Attendance_data!$B$4:$B$1000,Y$4,
      INDIRECT("Attendance_data!" &amp; ADDRESS(4, MATCH($B18, Attendance_data!$E$3:$BI$3, 0) + 4) &amp; ":" &amp;
               ADDRESS(1000, MATCH($B18, Attendance_data!$E$3:$BI$3, 0) + 4)),
      "A"
    )
  ),"")</f>
        <v>0.75</v>
      </c>
      <c r="Z18" s="18">
        <f t="array" ref="Z18">IFERROR(
  COUNTIFS(Attendance_data!$B$4:$B$1000,Z$4,
    INDIRECT("Attendance_data!" &amp; ADDRESS(4, MATCH($B18, Attendance_data!$E$3:$BI$3, 0) + 4) &amp; ":" &amp;
             ADDRESS(1000, MATCH($B18, Attendance_data!$E$3:$BI$3, 0) + 4)),
    "P"
  )
  /
  (
    COUNTIFS(
      Attendance_data!$B$4:$B$1000,Z$4,
      INDIRECT("Attendance_data!" &amp; ADDRESS(4, MATCH($B18, Attendance_data!$E$3:$BI$3, 0) + 4) &amp; ":" &amp;
               ADDRESS(1000, MATCH($B18, Attendance_data!$E$3:$BI$3, 0) + 4)),
      "P"
    )
    +
    COUNTIFS(
      Attendance_data!$B$4:$B$1000,Z$4,
      INDIRECT("Attendance_data!" &amp; ADDRESS(4, MATCH($B18, Attendance_data!$E$3:$BI$3, 0) + 4) &amp; ":" &amp;
               ADDRESS(1000, MATCH($B18, Attendance_data!$E$3:$BI$3, 0) + 4)),
      "A"
    )
  ),"")</f>
        <v>0.6666666667</v>
      </c>
      <c r="AA18" s="18" t="str">
        <f t="array" ref="AA18">IFERROR(
  COUNTIFS(Attendance_data!$B$4:$B$1000,AA$4,
    INDIRECT("Attendance_data!" &amp; ADDRESS(4, MATCH($B18, Attendance_data!$E$3:$BI$3, 0) + 4) &amp; ":" &amp;
             ADDRESS(1000, MATCH($B18, Attendance_data!$E$3:$BI$3, 0) + 4)),
    "P"
  )
  /
  (
    COUNTIFS(
      Attendance_data!$B$4:$B$1000,AA$4,
      INDIRECT("Attendance_data!" &amp; ADDRESS(4, MATCH($B18, Attendance_data!$E$3:$BI$3, 0) + 4) &amp; ":" &amp;
               ADDRESS(1000, MATCH($B18, Attendance_data!$E$3:$BI$3, 0) + 4)),
      "P"
    )
    +
    COUNTIFS(
      Attendance_data!$B$4:$B$1000,AA$4,
      INDIRECT("Attendance_data!" &amp; ADDRESS(4, MATCH($B18, Attendance_data!$E$3:$BI$3, 0) + 4) &amp; ":" &amp;
               ADDRESS(1000, MATCH($B18, Attendance_data!$E$3:$BI$3, 0) + 4)),
      "A"
    )
  ),"")</f>
        <v/>
      </c>
      <c r="AB18" s="19">
        <f t="shared" si="3"/>
        <v>0.8099916511</v>
      </c>
      <c r="AC18" s="1"/>
      <c r="AD18" s="1"/>
      <c r="AE18" s="1"/>
      <c r="AF18" s="1"/>
      <c r="AG18" s="1"/>
      <c r="AH18" s="1"/>
    </row>
    <row r="19">
      <c r="A19" s="14">
        <f t="shared" si="2"/>
        <v>15</v>
      </c>
      <c r="B19" s="15" t="s">
        <v>64</v>
      </c>
      <c r="C19" s="15" t="s">
        <v>65</v>
      </c>
      <c r="D19" s="15" t="s">
        <v>66</v>
      </c>
      <c r="E19" s="15" t="s">
        <v>21</v>
      </c>
      <c r="F19" s="15">
        <v>7.715903788E9</v>
      </c>
      <c r="G19" s="15" t="s">
        <v>67</v>
      </c>
      <c r="H19" s="15">
        <v>2025.0</v>
      </c>
      <c r="I19" s="16" t="s">
        <v>23</v>
      </c>
      <c r="J19" s="17">
        <v>10.0</v>
      </c>
      <c r="K19" s="17">
        <v>14.0</v>
      </c>
      <c r="L19" s="17">
        <v>15.0</v>
      </c>
      <c r="M19" s="17">
        <v>16.0</v>
      </c>
      <c r="N19" s="17">
        <v>17.0</v>
      </c>
      <c r="O19" s="17">
        <v>20.0</v>
      </c>
      <c r="P19" s="18">
        <f t="array" ref="P19">IFERROR(
  COUNTIFS(Attendance_data!$B$4:$B$1000,P$4,
    INDIRECT("Attendance_data!" &amp; ADDRESS(4, MATCH($B19, Attendance_data!$E$3:$BI$3, 0) + 4) &amp; ":" &amp;
             ADDRESS(1000, MATCH($B19, Attendance_data!$E$3:$BI$3, 0) + 4)),
    "P"
  )
  /
  (
    COUNTIFS(
      Attendance_data!$B$4:$B$1000,P$4,
      INDIRECT("Attendance_data!" &amp; ADDRESS(4, MATCH($B19, Attendance_data!$E$3:$BI$3, 0) + 4) &amp; ":" &amp;
               ADDRESS(1000, MATCH($B19, Attendance_data!$E$3:$BI$3, 0) + 4)),
      "P"
    )
    +
    COUNTIFS(
      Attendance_data!$B$4:$B$1000,P$4,
      INDIRECT("Attendance_data!" &amp; ADDRESS(4, MATCH($B19, Attendance_data!$E$3:$BI$3, 0) + 4) &amp; ":" &amp;
               ADDRESS(1000, MATCH($B19, Attendance_data!$E$3:$BI$3, 0) + 4)),
      "A"
    )
  ),"")</f>
        <v>0.7142857143</v>
      </c>
      <c r="Q19" s="18">
        <f t="array" ref="Q19">IFERROR(
  COUNTIFS(Attendance_data!$B$4:$B$1000,Q$4,
    INDIRECT("Attendance_data!" &amp; ADDRESS(4, MATCH($B19, Attendance_data!$E$3:$BI$3, 0) + 4) &amp; ":" &amp;
             ADDRESS(1000, MATCH($B19, Attendance_data!$E$3:$BI$3, 0) + 4)),
    "P"
  )
  /
  (
    COUNTIFS(
      Attendance_data!$B$4:$B$1000,Q$4,
      INDIRECT("Attendance_data!" &amp; ADDRESS(4, MATCH($B19, Attendance_data!$E$3:$BI$3, 0) + 4) &amp; ":" &amp;
               ADDRESS(1000, MATCH($B19, Attendance_data!$E$3:$BI$3, 0) + 4)),
      "P"
    )
    +
    COUNTIFS(
      Attendance_data!$B$4:$B$1000,Q$4,
      INDIRECT("Attendance_data!" &amp; ADDRESS(4, MATCH($B19, Attendance_data!$E$3:$BI$3, 0) + 4) &amp; ":" &amp;
               ADDRESS(1000, MATCH($B19, Attendance_data!$E$3:$BI$3, 0) + 4)),
      "A"
    )
  ),"")</f>
        <v>0.8076923077</v>
      </c>
      <c r="R19" s="18">
        <f t="array" ref="R19">IFERROR(
  COUNTIFS(Attendance_data!$B$4:$B$1000,R$4,
    INDIRECT("Attendance_data!" &amp; ADDRESS(4, MATCH($B19, Attendance_data!$E$3:$BI$3, 0) + 4) &amp; ":" &amp;
             ADDRESS(1000, MATCH($B19, Attendance_data!$E$3:$BI$3, 0) + 4)),
    "P"
  )
  /
  (
    COUNTIFS(
      Attendance_data!$B$4:$B$1000,R$4,
      INDIRECT("Attendance_data!" &amp; ADDRESS(4, MATCH($B19, Attendance_data!$E$3:$BI$3, 0) + 4) &amp; ":" &amp;
               ADDRESS(1000, MATCH($B19, Attendance_data!$E$3:$BI$3, 0) + 4)),
      "P"
    )
    +
    COUNTIFS(
      Attendance_data!$B$4:$B$1000,R$4,
      INDIRECT("Attendance_data!" &amp; ADDRESS(4, MATCH($B19, Attendance_data!$E$3:$BI$3, 0) + 4) &amp; ":" &amp;
               ADDRESS(1000, MATCH($B19, Attendance_data!$E$3:$BI$3, 0) + 4)),
      "A"
    )
  ),"")</f>
        <v>0.7894736842</v>
      </c>
      <c r="S19" s="18">
        <f t="array" ref="S19">IFERROR(
  COUNTIFS(Attendance_data!$B$4:$B$1000,S$4,
    INDIRECT("Attendance_data!" &amp; ADDRESS(4, MATCH($B19, Attendance_data!$E$3:$BI$3, 0) + 4) &amp; ":" &amp;
             ADDRESS(1000, MATCH($B19, Attendance_data!$E$3:$BI$3, 0) + 4)),
    "P"
  )
  /
  (
    COUNTIFS(
      Attendance_data!$B$4:$B$1000,S$4,
      INDIRECT("Attendance_data!" &amp; ADDRESS(4, MATCH($B19, Attendance_data!$E$3:$BI$3, 0) + 4) &amp; ":" &amp;
               ADDRESS(1000, MATCH($B19, Attendance_data!$E$3:$BI$3, 0) + 4)),
      "P"
    )
    +
    COUNTIFS(
      Attendance_data!$B$4:$B$1000,S$4,
      INDIRECT("Attendance_data!" &amp; ADDRESS(4, MATCH($B19, Attendance_data!$E$3:$BI$3, 0) + 4) &amp; ":" &amp;
               ADDRESS(1000, MATCH($B19, Attendance_data!$E$3:$BI$3, 0) + 4)),
      "A"
    )
  ),"")</f>
        <v>0.6818181818</v>
      </c>
      <c r="T19" s="18">
        <f t="array" ref="T19">IFERROR(
  COUNTIFS(Attendance_data!$B$4:$B$1000,T$4,
    INDIRECT("Attendance_data!" &amp; ADDRESS(4, MATCH($B19, Attendance_data!$E$3:$BI$3, 0) + 4) &amp; ":" &amp;
             ADDRESS(1000, MATCH($B19, Attendance_data!$E$3:$BI$3, 0) + 4)),
    "P"
  )
  /
  (
    COUNTIFS(
      Attendance_data!$B$4:$B$1000,T$4,
      INDIRECT("Attendance_data!" &amp; ADDRESS(4, MATCH($B19, Attendance_data!$E$3:$BI$3, 0) + 4) &amp; ":" &amp;
               ADDRESS(1000, MATCH($B19, Attendance_data!$E$3:$BI$3, 0) + 4)),
      "P"
    )
    +
    COUNTIFS(
      Attendance_data!$B$4:$B$1000,T$4,
      INDIRECT("Attendance_data!" &amp; ADDRESS(4, MATCH($B19, Attendance_data!$E$3:$BI$3, 0) + 4) &amp; ":" &amp;
               ADDRESS(1000, MATCH($B19, Attendance_data!$E$3:$BI$3, 0) + 4)),
      "A"
    )
  ),"")</f>
        <v>0.5</v>
      </c>
      <c r="U19" s="18">
        <f t="array" ref="U19">IFERROR(
  COUNTIFS(Attendance_data!$B$4:$B$1000,U$4,
    INDIRECT("Attendance_data!" &amp; ADDRESS(4, MATCH($B19, Attendance_data!$E$3:$BI$3, 0) + 4) &amp; ":" &amp;
             ADDRESS(1000, MATCH($B19, Attendance_data!$E$3:$BI$3, 0) + 4)),
    "P"
  )
  /
  (
    COUNTIFS(
      Attendance_data!$B$4:$B$1000,U$4,
      INDIRECT("Attendance_data!" &amp; ADDRESS(4, MATCH($B19, Attendance_data!$E$3:$BI$3, 0) + 4) &amp; ":" &amp;
               ADDRESS(1000, MATCH($B19, Attendance_data!$E$3:$BI$3, 0) + 4)),
      "P"
    )
    +
    COUNTIFS(
      Attendance_data!$B$4:$B$1000,U$4,
      INDIRECT("Attendance_data!" &amp; ADDRESS(4, MATCH($B19, Attendance_data!$E$3:$BI$3, 0) + 4) &amp; ":" &amp;
               ADDRESS(1000, MATCH($B19, Attendance_data!$E$3:$BI$3, 0) + 4)),
      "A"
    )
  ),"")</f>
        <v>0.72</v>
      </c>
      <c r="V19" s="18">
        <f t="array" ref="V19">IFERROR(
  COUNTIFS(Attendance_data!$B$4:$B$1000,V$4,
    INDIRECT("Attendance_data!" &amp; ADDRESS(4, MATCH($B19, Attendance_data!$E$3:$BI$3, 0) + 4) &amp; ":" &amp;
             ADDRESS(1000, MATCH($B19, Attendance_data!$E$3:$BI$3, 0) + 4)),
    "P"
  )
  /
  (
    COUNTIFS(
      Attendance_data!$B$4:$B$1000,V$4,
      INDIRECT("Attendance_data!" &amp; ADDRESS(4, MATCH($B19, Attendance_data!$E$3:$BI$3, 0) + 4) &amp; ":" &amp;
               ADDRESS(1000, MATCH($B19, Attendance_data!$E$3:$BI$3, 0) + 4)),
      "P"
    )
    +
    COUNTIFS(
      Attendance_data!$B$4:$B$1000,V$4,
      INDIRECT("Attendance_data!" &amp; ADDRESS(4, MATCH($B19, Attendance_data!$E$3:$BI$3, 0) + 4) &amp; ":" &amp;
               ADDRESS(1000, MATCH($B19, Attendance_data!$E$3:$BI$3, 0) + 4)),
      "A"
    )
  ),"")</f>
        <v>0.52</v>
      </c>
      <c r="W19" s="18">
        <f t="array" ref="W19">IFERROR(
  COUNTIFS(Attendance_data!$B$4:$B$1000,W$4,
    INDIRECT("Attendance_data!" &amp; ADDRESS(4, MATCH($B19, Attendance_data!$E$3:$BI$3, 0) + 4) &amp; ":" &amp;
             ADDRESS(1000, MATCH($B19, Attendance_data!$E$3:$BI$3, 0) + 4)),
    "P"
  )
  /
  (
    COUNTIFS(
      Attendance_data!$B$4:$B$1000,W$4,
      INDIRECT("Attendance_data!" &amp; ADDRESS(4, MATCH($B19, Attendance_data!$E$3:$BI$3, 0) + 4) &amp; ":" &amp;
               ADDRESS(1000, MATCH($B19, Attendance_data!$E$3:$BI$3, 0) + 4)),
      "P"
    )
    +
    COUNTIFS(
      Attendance_data!$B$4:$B$1000,W$4,
      INDIRECT("Attendance_data!" &amp; ADDRESS(4, MATCH($B19, Attendance_data!$E$3:$BI$3, 0) + 4) &amp; ":" &amp;
               ADDRESS(1000, MATCH($B19, Attendance_data!$E$3:$BI$3, 0) + 4)),
      "A"
    )
  ),"")</f>
        <v>0.64</v>
      </c>
      <c r="X19" s="18">
        <f t="array" ref="X19">IFERROR(
  COUNTIFS(Attendance_data!$B$4:$B$1000,X$4,
    INDIRECT("Attendance_data!" &amp; ADDRESS(4, MATCH($B19, Attendance_data!$E$3:$BI$3, 0) + 4) &amp; ":" &amp;
             ADDRESS(1000, MATCH($B19, Attendance_data!$E$3:$BI$3, 0) + 4)),
    "P"
  )
  /
  (
    COUNTIFS(
      Attendance_data!$B$4:$B$1000,X$4,
      INDIRECT("Attendance_data!" &amp; ADDRESS(4, MATCH($B19, Attendance_data!$E$3:$BI$3, 0) + 4) &amp; ":" &amp;
               ADDRESS(1000, MATCH($B19, Attendance_data!$E$3:$BI$3, 0) + 4)),
      "P"
    )
    +
    COUNTIFS(
      Attendance_data!$B$4:$B$1000,X$4,
      INDIRECT("Attendance_data!" &amp; ADDRESS(4, MATCH($B19, Attendance_data!$E$3:$BI$3, 0) + 4) &amp; ":" &amp;
               ADDRESS(1000, MATCH($B19, Attendance_data!$E$3:$BI$3, 0) + 4)),
      "A"
    )
  ),"")</f>
        <v>0.7142857143</v>
      </c>
      <c r="Y19" s="18">
        <f t="array" ref="Y19">IFERROR(
  COUNTIFS(Attendance_data!$B$4:$B$1000,Y$4,
    INDIRECT("Attendance_data!" &amp; ADDRESS(4, MATCH($B19, Attendance_data!$E$3:$BI$3, 0) + 4) &amp; ":" &amp;
             ADDRESS(1000, MATCH($B19, Attendance_data!$E$3:$BI$3, 0) + 4)),
    "P"
  )
  /
  (
    COUNTIFS(
      Attendance_data!$B$4:$B$1000,Y$4,
      INDIRECT("Attendance_data!" &amp; ADDRESS(4, MATCH($B19, Attendance_data!$E$3:$BI$3, 0) + 4) &amp; ":" &amp;
               ADDRESS(1000, MATCH($B19, Attendance_data!$E$3:$BI$3, 0) + 4)),
      "P"
    )
    +
    COUNTIFS(
      Attendance_data!$B$4:$B$1000,Y$4,
      INDIRECT("Attendance_data!" &amp; ADDRESS(4, MATCH($B19, Attendance_data!$E$3:$BI$3, 0) + 4) &amp; ":" &amp;
               ADDRESS(1000, MATCH($B19, Attendance_data!$E$3:$BI$3, 0) + 4)),
      "A"
    )
  ),"")</f>
        <v>0.4166666667</v>
      </c>
      <c r="Z19" s="18">
        <f t="array" ref="Z19">IFERROR(
  COUNTIFS(Attendance_data!$B$4:$B$1000,Z$4,
    INDIRECT("Attendance_data!" &amp; ADDRESS(4, MATCH($B19, Attendance_data!$E$3:$BI$3, 0) + 4) &amp; ":" &amp;
             ADDRESS(1000, MATCH($B19, Attendance_data!$E$3:$BI$3, 0) + 4)),
    "P"
  )
  /
  (
    COUNTIFS(
      Attendance_data!$B$4:$B$1000,Z$4,
      INDIRECT("Attendance_data!" &amp; ADDRESS(4, MATCH($B19, Attendance_data!$E$3:$BI$3, 0) + 4) &amp; ":" &amp;
               ADDRESS(1000, MATCH($B19, Attendance_data!$E$3:$BI$3, 0) + 4)),
      "P"
    )
    +
    COUNTIFS(
      Attendance_data!$B$4:$B$1000,Z$4,
      INDIRECT("Attendance_data!" &amp; ADDRESS(4, MATCH($B19, Attendance_data!$E$3:$BI$3, 0) + 4) &amp; ":" &amp;
               ADDRESS(1000, MATCH($B19, Attendance_data!$E$3:$BI$3, 0) + 4)),
      "A"
    )
  ),"")</f>
        <v>0.7777777778</v>
      </c>
      <c r="AA19" s="18" t="str">
        <f t="array" ref="AA19">IFERROR(
  COUNTIFS(Attendance_data!$B$4:$B$1000,AA$4,
    INDIRECT("Attendance_data!" &amp; ADDRESS(4, MATCH($B19, Attendance_data!$E$3:$BI$3, 0) + 4) &amp; ":" &amp;
             ADDRESS(1000, MATCH($B19, Attendance_data!$E$3:$BI$3, 0) + 4)),
    "P"
  )
  /
  (
    COUNTIFS(
      Attendance_data!$B$4:$B$1000,AA$4,
      INDIRECT("Attendance_data!" &amp; ADDRESS(4, MATCH($B19, Attendance_data!$E$3:$BI$3, 0) + 4) &amp; ":" &amp;
               ADDRESS(1000, MATCH($B19, Attendance_data!$E$3:$BI$3, 0) + 4)),
      "P"
    )
    +
    COUNTIFS(
      Attendance_data!$B$4:$B$1000,AA$4,
      INDIRECT("Attendance_data!" &amp; ADDRESS(4, MATCH($B19, Attendance_data!$E$3:$BI$3, 0) + 4) &amp; ":" &amp;
               ADDRESS(1000, MATCH($B19, Attendance_data!$E$3:$BI$3, 0) + 4)),
      "A"
    )
  ),"")</f>
        <v/>
      </c>
      <c r="AB19" s="19">
        <f t="shared" si="3"/>
        <v>0.6620000042</v>
      </c>
      <c r="AC19" s="1"/>
      <c r="AD19" s="1"/>
      <c r="AE19" s="1"/>
      <c r="AF19" s="1"/>
      <c r="AG19" s="1"/>
      <c r="AH19" s="1"/>
    </row>
    <row r="20">
      <c r="A20" s="14">
        <f t="shared" si="2"/>
        <v>16</v>
      </c>
      <c r="B20" s="15" t="s">
        <v>68</v>
      </c>
      <c r="C20" s="15" t="s">
        <v>69</v>
      </c>
      <c r="D20" s="15" t="s">
        <v>66</v>
      </c>
      <c r="E20" s="15" t="s">
        <v>38</v>
      </c>
      <c r="F20" s="15">
        <v>7.309359111E9</v>
      </c>
      <c r="G20" s="15" t="s">
        <v>39</v>
      </c>
      <c r="H20" s="15">
        <v>2025.0</v>
      </c>
      <c r="I20" s="16" t="s">
        <v>23</v>
      </c>
      <c r="J20" s="17">
        <v>12.0</v>
      </c>
      <c r="K20" s="17">
        <v>16.0</v>
      </c>
      <c r="L20" s="17">
        <v>14.0</v>
      </c>
      <c r="M20" s="17">
        <v>15.0</v>
      </c>
      <c r="N20" s="17">
        <v>18.0</v>
      </c>
      <c r="O20" s="17">
        <v>20.0</v>
      </c>
      <c r="P20" s="18" t="str">
        <f t="array" ref="P20">IFERROR(
  COUNTIFS(Attendance_data!$B$4:$B$1000,P$4,
    INDIRECT("Attendance_data!" &amp; ADDRESS(4, MATCH($B20, Attendance_data!$E$3:$BI$3, 0) + 4) &amp; ":" &amp;
             ADDRESS(1000, MATCH($B20, Attendance_data!$E$3:$BI$3, 0) + 4)),
    "P"
  )
  /
  (
    COUNTIFS(
      Attendance_data!$B$4:$B$1000,P$4,
      INDIRECT("Attendance_data!" &amp; ADDRESS(4, MATCH($B20, Attendance_data!$E$3:$BI$3, 0) + 4) &amp; ":" &amp;
               ADDRESS(1000, MATCH($B20, Attendance_data!$E$3:$BI$3, 0) + 4)),
      "P"
    )
    +
    COUNTIFS(
      Attendance_data!$B$4:$B$1000,P$4,
      INDIRECT("Attendance_data!" &amp; ADDRESS(4, MATCH($B20, Attendance_data!$E$3:$BI$3, 0) + 4) &amp; ":" &amp;
               ADDRESS(1000, MATCH($B20, Attendance_data!$E$3:$BI$3, 0) + 4)),
      "A"
    )
  ),"")</f>
        <v/>
      </c>
      <c r="Q20" s="18">
        <f t="array" ref="Q20">IFERROR(
  COUNTIFS(Attendance_data!$B$4:$B$1000,Q$4,
    INDIRECT("Attendance_data!" &amp; ADDRESS(4, MATCH($B20, Attendance_data!$E$3:$BI$3, 0) + 4) &amp; ":" &amp;
             ADDRESS(1000, MATCH($B20, Attendance_data!$E$3:$BI$3, 0) + 4)),
    "P"
  )
  /
  (
    COUNTIFS(
      Attendance_data!$B$4:$B$1000,Q$4,
      INDIRECT("Attendance_data!" &amp; ADDRESS(4, MATCH($B20, Attendance_data!$E$3:$BI$3, 0) + 4) &amp; ":" &amp;
               ADDRESS(1000, MATCH($B20, Attendance_data!$E$3:$BI$3, 0) + 4)),
      "P"
    )
    +
    COUNTIFS(
      Attendance_data!$B$4:$B$1000,Q$4,
      INDIRECT("Attendance_data!" &amp; ADDRESS(4, MATCH($B20, Attendance_data!$E$3:$BI$3, 0) + 4) &amp; ":" &amp;
               ADDRESS(1000, MATCH($B20, Attendance_data!$E$3:$BI$3, 0) + 4)),
      "A"
    )
  ),"")</f>
        <v>0.9615384615</v>
      </c>
      <c r="R20" s="18">
        <f t="array" ref="R20">IFERROR(
  COUNTIFS(Attendance_data!$B$4:$B$1000,R$4,
    INDIRECT("Attendance_data!" &amp; ADDRESS(4, MATCH($B20, Attendance_data!$E$3:$BI$3, 0) + 4) &amp; ":" &amp;
             ADDRESS(1000, MATCH($B20, Attendance_data!$E$3:$BI$3, 0) + 4)),
    "P"
  )
  /
  (
    COUNTIFS(
      Attendance_data!$B$4:$B$1000,R$4,
      INDIRECT("Attendance_data!" &amp; ADDRESS(4, MATCH($B20, Attendance_data!$E$3:$BI$3, 0) + 4) &amp; ":" &amp;
               ADDRESS(1000, MATCH($B20, Attendance_data!$E$3:$BI$3, 0) + 4)),
      "P"
    )
    +
    COUNTIFS(
      Attendance_data!$B$4:$B$1000,R$4,
      INDIRECT("Attendance_data!" &amp; ADDRESS(4, MATCH($B20, Attendance_data!$E$3:$BI$3, 0) + 4) &amp; ":" &amp;
               ADDRESS(1000, MATCH($B20, Attendance_data!$E$3:$BI$3, 0) + 4)),
      "A"
    )
  ),"")</f>
        <v>0.7894736842</v>
      </c>
      <c r="S20" s="18">
        <f t="array" ref="S20">IFERROR(
  COUNTIFS(Attendance_data!$B$4:$B$1000,S$4,
    INDIRECT("Attendance_data!" &amp; ADDRESS(4, MATCH($B20, Attendance_data!$E$3:$BI$3, 0) + 4) &amp; ":" &amp;
             ADDRESS(1000, MATCH($B20, Attendance_data!$E$3:$BI$3, 0) + 4)),
    "P"
  )
  /
  (
    COUNTIFS(
      Attendance_data!$B$4:$B$1000,S$4,
      INDIRECT("Attendance_data!" &amp; ADDRESS(4, MATCH($B20, Attendance_data!$E$3:$BI$3, 0) + 4) &amp; ":" &amp;
               ADDRESS(1000, MATCH($B20, Attendance_data!$E$3:$BI$3, 0) + 4)),
      "P"
    )
    +
    COUNTIFS(
      Attendance_data!$B$4:$B$1000,S$4,
      INDIRECT("Attendance_data!" &amp; ADDRESS(4, MATCH($B20, Attendance_data!$E$3:$BI$3, 0) + 4) &amp; ":" &amp;
               ADDRESS(1000, MATCH($B20, Attendance_data!$E$3:$BI$3, 0) + 4)),
      "A"
    )
  ),"")</f>
        <v>0.9545454545</v>
      </c>
      <c r="T20" s="18">
        <f t="array" ref="T20">IFERROR(
  COUNTIFS(Attendance_data!$B$4:$B$1000,T$4,
    INDIRECT("Attendance_data!" &amp; ADDRESS(4, MATCH($B20, Attendance_data!$E$3:$BI$3, 0) + 4) &amp; ":" &amp;
             ADDRESS(1000, MATCH($B20, Attendance_data!$E$3:$BI$3, 0) + 4)),
    "P"
  )
  /
  (
    COUNTIFS(
      Attendance_data!$B$4:$B$1000,T$4,
      INDIRECT("Attendance_data!" &amp; ADDRESS(4, MATCH($B20, Attendance_data!$E$3:$BI$3, 0) + 4) &amp; ":" &amp;
               ADDRESS(1000, MATCH($B20, Attendance_data!$E$3:$BI$3, 0) + 4)),
      "P"
    )
    +
    COUNTIFS(
      Attendance_data!$B$4:$B$1000,T$4,
      INDIRECT("Attendance_data!" &amp; ADDRESS(4, MATCH($B20, Attendance_data!$E$3:$BI$3, 0) + 4) &amp; ":" &amp;
               ADDRESS(1000, MATCH($B20, Attendance_data!$E$3:$BI$3, 0) + 4)),
      "A"
    )
  ),"")</f>
        <v>0.8</v>
      </c>
      <c r="U20" s="18">
        <f t="array" ref="U20">IFERROR(
  COUNTIFS(Attendance_data!$B$4:$B$1000,U$4,
    INDIRECT("Attendance_data!" &amp; ADDRESS(4, MATCH($B20, Attendance_data!$E$3:$BI$3, 0) + 4) &amp; ":" &amp;
             ADDRESS(1000, MATCH($B20, Attendance_data!$E$3:$BI$3, 0) + 4)),
    "P"
  )
  /
  (
    COUNTIFS(
      Attendance_data!$B$4:$B$1000,U$4,
      INDIRECT("Attendance_data!" &amp; ADDRESS(4, MATCH($B20, Attendance_data!$E$3:$BI$3, 0) + 4) &amp; ":" &amp;
               ADDRESS(1000, MATCH($B20, Attendance_data!$E$3:$BI$3, 0) + 4)),
      "P"
    )
    +
    COUNTIFS(
      Attendance_data!$B$4:$B$1000,U$4,
      INDIRECT("Attendance_data!" &amp; ADDRESS(4, MATCH($B20, Attendance_data!$E$3:$BI$3, 0) + 4) &amp; ":" &amp;
               ADDRESS(1000, MATCH($B20, Attendance_data!$E$3:$BI$3, 0) + 4)),
      "A"
    )
  ),"")</f>
        <v>0.2</v>
      </c>
      <c r="V20" s="18">
        <f t="array" ref="V20">IFERROR(
  COUNTIFS(Attendance_data!$B$4:$B$1000,V$4,
    INDIRECT("Attendance_data!" &amp; ADDRESS(4, MATCH($B20, Attendance_data!$E$3:$BI$3, 0) + 4) &amp; ":" &amp;
             ADDRESS(1000, MATCH($B20, Attendance_data!$E$3:$BI$3, 0) + 4)),
    "P"
  )
  /
  (
    COUNTIFS(
      Attendance_data!$B$4:$B$1000,V$4,
      INDIRECT("Attendance_data!" &amp; ADDRESS(4, MATCH($B20, Attendance_data!$E$3:$BI$3, 0) + 4) &amp; ":" &amp;
               ADDRESS(1000, MATCH($B20, Attendance_data!$E$3:$BI$3, 0) + 4)),
      "P"
    )
    +
    COUNTIFS(
      Attendance_data!$B$4:$B$1000,V$4,
      INDIRECT("Attendance_data!" &amp; ADDRESS(4, MATCH($B20, Attendance_data!$E$3:$BI$3, 0) + 4) &amp; ":" &amp;
               ADDRESS(1000, MATCH($B20, Attendance_data!$E$3:$BI$3, 0) + 4)),
      "A"
    )
  ),"")</f>
        <v>0</v>
      </c>
      <c r="W20" s="18">
        <f t="array" ref="W20">IFERROR(
  COUNTIFS(Attendance_data!$B$4:$B$1000,W$4,
    INDIRECT("Attendance_data!" &amp; ADDRESS(4, MATCH($B20, Attendance_data!$E$3:$BI$3, 0) + 4) &amp; ":" &amp;
             ADDRESS(1000, MATCH($B20, Attendance_data!$E$3:$BI$3, 0) + 4)),
    "P"
  )
  /
  (
    COUNTIFS(
      Attendance_data!$B$4:$B$1000,W$4,
      INDIRECT("Attendance_data!" &amp; ADDRESS(4, MATCH($B20, Attendance_data!$E$3:$BI$3, 0) + 4) &amp; ":" &amp;
               ADDRESS(1000, MATCH($B20, Attendance_data!$E$3:$BI$3, 0) + 4)),
      "P"
    )
    +
    COUNTIFS(
      Attendance_data!$B$4:$B$1000,W$4,
      INDIRECT("Attendance_data!" &amp; ADDRESS(4, MATCH($B20, Attendance_data!$E$3:$BI$3, 0) + 4) &amp; ":" &amp;
               ADDRESS(1000, MATCH($B20, Attendance_data!$E$3:$BI$3, 0) + 4)),
      "A"
    )
  ),"")</f>
        <v>0</v>
      </c>
      <c r="X20" s="18">
        <f t="array" ref="X20">IFERROR(
  COUNTIFS(Attendance_data!$B$4:$B$1000,X$4,
    INDIRECT("Attendance_data!" &amp; ADDRESS(4, MATCH($B20, Attendance_data!$E$3:$BI$3, 0) + 4) &amp; ":" &amp;
             ADDRESS(1000, MATCH($B20, Attendance_data!$E$3:$BI$3, 0) + 4)),
    "P"
  )
  /
  (
    COUNTIFS(
      Attendance_data!$B$4:$B$1000,X$4,
      INDIRECT("Attendance_data!" &amp; ADDRESS(4, MATCH($B20, Attendance_data!$E$3:$BI$3, 0) + 4) &amp; ":" &amp;
               ADDRESS(1000, MATCH($B20, Attendance_data!$E$3:$BI$3, 0) + 4)),
      "P"
    )
    +
    COUNTIFS(
      Attendance_data!$B$4:$B$1000,X$4,
      INDIRECT("Attendance_data!" &amp; ADDRESS(4, MATCH($B20, Attendance_data!$E$3:$BI$3, 0) + 4) &amp; ":" &amp;
               ADDRESS(1000, MATCH($B20, Attendance_data!$E$3:$BI$3, 0) + 4)),
      "A"
    )
  ),"")</f>
        <v>0.4285714286</v>
      </c>
      <c r="Y20" s="18">
        <f t="array" ref="Y20">IFERROR(
  COUNTIFS(Attendance_data!$B$4:$B$1000,Y$4,
    INDIRECT("Attendance_data!" &amp; ADDRESS(4, MATCH($B20, Attendance_data!$E$3:$BI$3, 0) + 4) &amp; ":" &amp;
             ADDRESS(1000, MATCH($B20, Attendance_data!$E$3:$BI$3, 0) + 4)),
    "P"
  )
  /
  (
    COUNTIFS(
      Attendance_data!$B$4:$B$1000,Y$4,
      INDIRECT("Attendance_data!" &amp; ADDRESS(4, MATCH($B20, Attendance_data!$E$3:$BI$3, 0) + 4) &amp; ":" &amp;
               ADDRESS(1000, MATCH($B20, Attendance_data!$E$3:$BI$3, 0) + 4)),
      "P"
    )
    +
    COUNTIFS(
      Attendance_data!$B$4:$B$1000,Y$4,
      INDIRECT("Attendance_data!" &amp; ADDRESS(4, MATCH($B20, Attendance_data!$E$3:$BI$3, 0) + 4) &amp; ":" &amp;
               ADDRESS(1000, MATCH($B20, Attendance_data!$E$3:$BI$3, 0) + 4)),
      "A"
    )
  ),"")</f>
        <v>0.5833333333</v>
      </c>
      <c r="Z20" s="18">
        <f t="array" ref="Z20">IFERROR(
  COUNTIFS(Attendance_data!$B$4:$B$1000,Z$4,
    INDIRECT("Attendance_data!" &amp; ADDRESS(4, MATCH($B20, Attendance_data!$E$3:$BI$3, 0) + 4) &amp; ":" &amp;
             ADDRESS(1000, MATCH($B20, Attendance_data!$E$3:$BI$3, 0) + 4)),
    "P"
  )
  /
  (
    COUNTIFS(
      Attendance_data!$B$4:$B$1000,Z$4,
      INDIRECT("Attendance_data!" &amp; ADDRESS(4, MATCH($B20, Attendance_data!$E$3:$BI$3, 0) + 4) &amp; ":" &amp;
               ADDRESS(1000, MATCH($B20, Attendance_data!$E$3:$BI$3, 0) + 4)),
      "P"
    )
    +
    COUNTIFS(
      Attendance_data!$B$4:$B$1000,Z$4,
      INDIRECT("Attendance_data!" &amp; ADDRESS(4, MATCH($B20, Attendance_data!$E$3:$BI$3, 0) + 4) &amp; ":" &amp;
               ADDRESS(1000, MATCH($B20, Attendance_data!$E$3:$BI$3, 0) + 4)),
      "A"
    )
  ),"")</f>
        <v>0</v>
      </c>
      <c r="AA20" s="18" t="str">
        <f t="array" ref="AA20">IFERROR(
  COUNTIFS(Attendance_data!$B$4:$B$1000,AA$4,
    INDIRECT("Attendance_data!" &amp; ADDRESS(4, MATCH($B20, Attendance_data!$E$3:$BI$3, 0) + 4) &amp; ":" &amp;
             ADDRESS(1000, MATCH($B20, Attendance_data!$E$3:$BI$3, 0) + 4)),
    "P"
  )
  /
  (
    COUNTIFS(
      Attendance_data!$B$4:$B$1000,AA$4,
      INDIRECT("Attendance_data!" &amp; ADDRESS(4, MATCH($B20, Attendance_data!$E$3:$BI$3, 0) + 4) &amp; ":" &amp;
               ADDRESS(1000, MATCH($B20, Attendance_data!$E$3:$BI$3, 0) + 4)),
      "P"
    )
    +
    COUNTIFS(
      Attendance_data!$B$4:$B$1000,AA$4,
      INDIRECT("Attendance_data!" &amp; ADDRESS(4, MATCH($B20, Attendance_data!$E$3:$BI$3, 0) + 4) &amp; ":" &amp;
               ADDRESS(1000, MATCH($B20, Attendance_data!$E$3:$BI$3, 0) + 4)),
      "A"
    )
  ),"")</f>
        <v/>
      </c>
      <c r="AB20" s="19">
        <f t="shared" si="3"/>
        <v>0.6739231946</v>
      </c>
      <c r="AC20" s="1"/>
      <c r="AD20" s="1"/>
      <c r="AE20" s="1"/>
      <c r="AF20" s="1"/>
      <c r="AG20" s="1"/>
      <c r="AH20" s="1"/>
    </row>
    <row r="21">
      <c r="A21" s="14">
        <f t="shared" si="2"/>
        <v>17</v>
      </c>
      <c r="B21" s="15" t="s">
        <v>70</v>
      </c>
      <c r="C21" s="15" t="s">
        <v>71</v>
      </c>
      <c r="D21" s="15" t="s">
        <v>66</v>
      </c>
      <c r="E21" s="15" t="s">
        <v>21</v>
      </c>
      <c r="F21" s="15">
        <v>7.715903788E9</v>
      </c>
      <c r="G21" s="15" t="s">
        <v>27</v>
      </c>
      <c r="H21" s="15">
        <v>2025.0</v>
      </c>
      <c r="I21" s="16" t="s">
        <v>23</v>
      </c>
      <c r="J21" s="17">
        <v>13.0</v>
      </c>
      <c r="K21" s="17">
        <v>16.0</v>
      </c>
      <c r="L21" s="17">
        <v>13.0</v>
      </c>
      <c r="M21" s="17">
        <v>17.0</v>
      </c>
      <c r="N21" s="17">
        <v>14.0</v>
      </c>
      <c r="O21" s="17">
        <v>11.0</v>
      </c>
      <c r="P21" s="18">
        <f t="array" ref="P21">IFERROR(
  COUNTIFS(Attendance_data!$B$4:$B$1000,P$4,
    INDIRECT("Attendance_data!" &amp; ADDRESS(4, MATCH($B21, Attendance_data!$E$3:$BI$3, 0) + 4) &amp; ":" &amp;
             ADDRESS(1000, MATCH($B21, Attendance_data!$E$3:$BI$3, 0) + 4)),
    "P"
  )
  /
  (
    COUNTIFS(
      Attendance_data!$B$4:$B$1000,P$4,
      INDIRECT("Attendance_data!" &amp; ADDRESS(4, MATCH($B21, Attendance_data!$E$3:$BI$3, 0) + 4) &amp; ":" &amp;
               ADDRESS(1000, MATCH($B21, Attendance_data!$E$3:$BI$3, 0) + 4)),
      "P"
    )
    +
    COUNTIFS(
      Attendance_data!$B$4:$B$1000,P$4,
      INDIRECT("Attendance_data!" &amp; ADDRESS(4, MATCH($B21, Attendance_data!$E$3:$BI$3, 0) + 4) &amp; ":" &amp;
               ADDRESS(1000, MATCH($B21, Attendance_data!$E$3:$BI$3, 0) + 4)),
      "A"
    )
  ),"")</f>
        <v>0.8095238095</v>
      </c>
      <c r="Q21" s="18">
        <f t="array" ref="Q21">IFERROR(
  COUNTIFS(Attendance_data!$B$4:$B$1000,Q$4,
    INDIRECT("Attendance_data!" &amp; ADDRESS(4, MATCH($B21, Attendance_data!$E$3:$BI$3, 0) + 4) &amp; ":" &amp;
             ADDRESS(1000, MATCH($B21, Attendance_data!$E$3:$BI$3, 0) + 4)),
    "P"
  )
  /
  (
    COUNTIFS(
      Attendance_data!$B$4:$B$1000,Q$4,
      INDIRECT("Attendance_data!" &amp; ADDRESS(4, MATCH($B21, Attendance_data!$E$3:$BI$3, 0) + 4) &amp; ":" &amp;
               ADDRESS(1000, MATCH($B21, Attendance_data!$E$3:$BI$3, 0) + 4)),
      "P"
    )
    +
    COUNTIFS(
      Attendance_data!$B$4:$B$1000,Q$4,
      INDIRECT("Attendance_data!" &amp; ADDRESS(4, MATCH($B21, Attendance_data!$E$3:$BI$3, 0) + 4) &amp; ":" &amp;
               ADDRESS(1000, MATCH($B21, Attendance_data!$E$3:$BI$3, 0) + 4)),
      "A"
    )
  ),"")</f>
        <v>0.9230769231</v>
      </c>
      <c r="R21" s="18">
        <f t="array" ref="R21">IFERROR(
  COUNTIFS(Attendance_data!$B$4:$B$1000,R$4,
    INDIRECT("Attendance_data!" &amp; ADDRESS(4, MATCH($B21, Attendance_data!$E$3:$BI$3, 0) + 4) &amp; ":" &amp;
             ADDRESS(1000, MATCH($B21, Attendance_data!$E$3:$BI$3, 0) + 4)),
    "P"
  )
  /
  (
    COUNTIFS(
      Attendance_data!$B$4:$B$1000,R$4,
      INDIRECT("Attendance_data!" &amp; ADDRESS(4, MATCH($B21, Attendance_data!$E$3:$BI$3, 0) + 4) &amp; ":" &amp;
               ADDRESS(1000, MATCH($B21, Attendance_data!$E$3:$BI$3, 0) + 4)),
      "P"
    )
    +
    COUNTIFS(
      Attendance_data!$B$4:$B$1000,R$4,
      INDIRECT("Attendance_data!" &amp; ADDRESS(4, MATCH($B21, Attendance_data!$E$3:$BI$3, 0) + 4) &amp; ":" &amp;
               ADDRESS(1000, MATCH($B21, Attendance_data!$E$3:$BI$3, 0) + 4)),
      "A"
    )
  ),"")</f>
        <v>0.4736842105</v>
      </c>
      <c r="S21" s="18">
        <f t="array" ref="S21">IFERROR(
  COUNTIFS(Attendance_data!$B$4:$B$1000,S$4,
    INDIRECT("Attendance_data!" &amp; ADDRESS(4, MATCH($B21, Attendance_data!$E$3:$BI$3, 0) + 4) &amp; ":" &amp;
             ADDRESS(1000, MATCH($B21, Attendance_data!$E$3:$BI$3, 0) + 4)),
    "P"
  )
  /
  (
    COUNTIFS(
      Attendance_data!$B$4:$B$1000,S$4,
      INDIRECT("Attendance_data!" &amp; ADDRESS(4, MATCH($B21, Attendance_data!$E$3:$BI$3, 0) + 4) &amp; ":" &amp;
               ADDRESS(1000, MATCH($B21, Attendance_data!$E$3:$BI$3, 0) + 4)),
      "P"
    )
    +
    COUNTIFS(
      Attendance_data!$B$4:$B$1000,S$4,
      INDIRECT("Attendance_data!" &amp; ADDRESS(4, MATCH($B21, Attendance_data!$E$3:$BI$3, 0) + 4) &amp; ":" &amp;
               ADDRESS(1000, MATCH($B21, Attendance_data!$E$3:$BI$3, 0) + 4)),
      "A"
    )
  ),"")</f>
        <v>0.7727272727</v>
      </c>
      <c r="T21" s="18">
        <f t="array" ref="T21">IFERROR(
  COUNTIFS(Attendance_data!$B$4:$B$1000,T$4,
    INDIRECT("Attendance_data!" &amp; ADDRESS(4, MATCH($B21, Attendance_data!$E$3:$BI$3, 0) + 4) &amp; ":" &amp;
             ADDRESS(1000, MATCH($B21, Attendance_data!$E$3:$BI$3, 0) + 4)),
    "P"
  )
  /
  (
    COUNTIFS(
      Attendance_data!$B$4:$B$1000,T$4,
      INDIRECT("Attendance_data!" &amp; ADDRESS(4, MATCH($B21, Attendance_data!$E$3:$BI$3, 0) + 4) &amp; ":" &amp;
               ADDRESS(1000, MATCH($B21, Attendance_data!$E$3:$BI$3, 0) + 4)),
      "P"
    )
    +
    COUNTIFS(
      Attendance_data!$B$4:$B$1000,T$4,
      INDIRECT("Attendance_data!" &amp; ADDRESS(4, MATCH($B21, Attendance_data!$E$3:$BI$3, 0) + 4) &amp; ":" &amp;
               ADDRESS(1000, MATCH($B21, Attendance_data!$E$3:$BI$3, 0) + 4)),
      "A"
    )
  ),"")</f>
        <v>0.65</v>
      </c>
      <c r="U21" s="18">
        <f t="array" ref="U21">IFERROR(
  COUNTIFS(Attendance_data!$B$4:$B$1000,U$4,
    INDIRECT("Attendance_data!" &amp; ADDRESS(4, MATCH($B21, Attendance_data!$E$3:$BI$3, 0) + 4) &amp; ":" &amp;
             ADDRESS(1000, MATCH($B21, Attendance_data!$E$3:$BI$3, 0) + 4)),
    "P"
  )
  /
  (
    COUNTIFS(
      Attendance_data!$B$4:$B$1000,U$4,
      INDIRECT("Attendance_data!" &amp; ADDRESS(4, MATCH($B21, Attendance_data!$E$3:$BI$3, 0) + 4) &amp; ":" &amp;
               ADDRESS(1000, MATCH($B21, Attendance_data!$E$3:$BI$3, 0) + 4)),
      "P"
    )
    +
    COUNTIFS(
      Attendance_data!$B$4:$B$1000,U$4,
      INDIRECT("Attendance_data!" &amp; ADDRESS(4, MATCH($B21, Attendance_data!$E$3:$BI$3, 0) + 4) &amp; ":" &amp;
               ADDRESS(1000, MATCH($B21, Attendance_data!$E$3:$BI$3, 0) + 4)),
      "A"
    )
  ),"")</f>
        <v>0.72</v>
      </c>
      <c r="V21" s="18">
        <f t="array" ref="V21">IFERROR(
  COUNTIFS(Attendance_data!$B$4:$B$1000,V$4,
    INDIRECT("Attendance_data!" &amp; ADDRESS(4, MATCH($B21, Attendance_data!$E$3:$BI$3, 0) + 4) &amp; ":" &amp;
             ADDRESS(1000, MATCH($B21, Attendance_data!$E$3:$BI$3, 0) + 4)),
    "P"
  )
  /
  (
    COUNTIFS(
      Attendance_data!$B$4:$B$1000,V$4,
      INDIRECT("Attendance_data!" &amp; ADDRESS(4, MATCH($B21, Attendance_data!$E$3:$BI$3, 0) + 4) &amp; ":" &amp;
               ADDRESS(1000, MATCH($B21, Attendance_data!$E$3:$BI$3, 0) + 4)),
      "P"
    )
    +
    COUNTIFS(
      Attendance_data!$B$4:$B$1000,V$4,
      INDIRECT("Attendance_data!" &amp; ADDRESS(4, MATCH($B21, Attendance_data!$E$3:$BI$3, 0) + 4) &amp; ":" &amp;
               ADDRESS(1000, MATCH($B21, Attendance_data!$E$3:$BI$3, 0) + 4)),
      "A"
    )
  ),"")</f>
        <v>0.52</v>
      </c>
      <c r="W21" s="18">
        <f t="array" ref="W21">IFERROR(
  COUNTIFS(Attendance_data!$B$4:$B$1000,W$4,
    INDIRECT("Attendance_data!" &amp; ADDRESS(4, MATCH($B21, Attendance_data!$E$3:$BI$3, 0) + 4) &amp; ":" &amp;
             ADDRESS(1000, MATCH($B21, Attendance_data!$E$3:$BI$3, 0) + 4)),
    "P"
  )
  /
  (
    COUNTIFS(
      Attendance_data!$B$4:$B$1000,W$4,
      INDIRECT("Attendance_data!" &amp; ADDRESS(4, MATCH($B21, Attendance_data!$E$3:$BI$3, 0) + 4) &amp; ":" &amp;
               ADDRESS(1000, MATCH($B21, Attendance_data!$E$3:$BI$3, 0) + 4)),
      "P"
    )
    +
    COUNTIFS(
      Attendance_data!$B$4:$B$1000,W$4,
      INDIRECT("Attendance_data!" &amp; ADDRESS(4, MATCH($B21, Attendance_data!$E$3:$BI$3, 0) + 4) &amp; ":" &amp;
               ADDRESS(1000, MATCH($B21, Attendance_data!$E$3:$BI$3, 0) + 4)),
      "A"
    )
  ),"")</f>
        <v>0.64</v>
      </c>
      <c r="X21" s="18">
        <f t="array" ref="X21">IFERROR(
  COUNTIFS(Attendance_data!$B$4:$B$1000,X$4,
    INDIRECT("Attendance_data!" &amp; ADDRESS(4, MATCH($B21, Attendance_data!$E$3:$BI$3, 0) + 4) &amp; ":" &amp;
             ADDRESS(1000, MATCH($B21, Attendance_data!$E$3:$BI$3, 0) + 4)),
    "P"
  )
  /
  (
    COUNTIFS(
      Attendance_data!$B$4:$B$1000,X$4,
      INDIRECT("Attendance_data!" &amp; ADDRESS(4, MATCH($B21, Attendance_data!$E$3:$BI$3, 0) + 4) &amp; ":" &amp;
               ADDRESS(1000, MATCH($B21, Attendance_data!$E$3:$BI$3, 0) + 4)),
      "P"
    )
    +
    COUNTIFS(
      Attendance_data!$B$4:$B$1000,X$4,
      INDIRECT("Attendance_data!" &amp; ADDRESS(4, MATCH($B21, Attendance_data!$E$3:$BI$3, 0) + 4) &amp; ":" &amp;
               ADDRESS(1000, MATCH($B21, Attendance_data!$E$3:$BI$3, 0) + 4)),
      "A"
    )
  ),"")</f>
        <v>0.7142857143</v>
      </c>
      <c r="Y21" s="18">
        <f t="array" ref="Y21">IFERROR(
  COUNTIFS(Attendance_data!$B$4:$B$1000,Y$4,
    INDIRECT("Attendance_data!" &amp; ADDRESS(4, MATCH($B21, Attendance_data!$E$3:$BI$3, 0) + 4) &amp; ":" &amp;
             ADDRESS(1000, MATCH($B21, Attendance_data!$E$3:$BI$3, 0) + 4)),
    "P"
  )
  /
  (
    COUNTIFS(
      Attendance_data!$B$4:$B$1000,Y$4,
      INDIRECT("Attendance_data!" &amp; ADDRESS(4, MATCH($B21, Attendance_data!$E$3:$BI$3, 0) + 4) &amp; ":" &amp;
               ADDRESS(1000, MATCH($B21, Attendance_data!$E$3:$BI$3, 0) + 4)),
      "P"
    )
    +
    COUNTIFS(
      Attendance_data!$B$4:$B$1000,Y$4,
      INDIRECT("Attendance_data!" &amp; ADDRESS(4, MATCH($B21, Attendance_data!$E$3:$BI$3, 0) + 4) &amp; ":" &amp;
               ADDRESS(1000, MATCH($B21, Attendance_data!$E$3:$BI$3, 0) + 4)),
      "A"
    )
  ),"")</f>
        <v>0.625</v>
      </c>
      <c r="Z21" s="18">
        <f t="array" ref="Z21">IFERROR(
  COUNTIFS(Attendance_data!$B$4:$B$1000,Z$4,
    INDIRECT("Attendance_data!" &amp; ADDRESS(4, MATCH($B21, Attendance_data!$E$3:$BI$3, 0) + 4) &amp; ":" &amp;
             ADDRESS(1000, MATCH($B21, Attendance_data!$E$3:$BI$3, 0) + 4)),
    "P"
  )
  /
  (
    COUNTIFS(
      Attendance_data!$B$4:$B$1000,Z$4,
      INDIRECT("Attendance_data!" &amp; ADDRESS(4, MATCH($B21, Attendance_data!$E$3:$BI$3, 0) + 4) &amp; ":" &amp;
               ADDRESS(1000, MATCH($B21, Attendance_data!$E$3:$BI$3, 0) + 4)),
      "P"
    )
    +
    COUNTIFS(
      Attendance_data!$B$4:$B$1000,Z$4,
      INDIRECT("Attendance_data!" &amp; ADDRESS(4, MATCH($B21, Attendance_data!$E$3:$BI$3, 0) + 4) &amp; ":" &amp;
               ADDRESS(1000, MATCH($B21, Attendance_data!$E$3:$BI$3, 0) + 4)),
      "A"
    )
  ),"")</f>
        <v>0.7777777778</v>
      </c>
      <c r="AA21" s="18" t="str">
        <f t="array" ref="AA21">IFERROR(
  COUNTIFS(Attendance_data!$B$4:$B$1000,AA$4,
    INDIRECT("Attendance_data!" &amp; ADDRESS(4, MATCH($B21, Attendance_data!$E$3:$BI$3, 0) + 4) &amp; ":" &amp;
             ADDRESS(1000, MATCH($B21, Attendance_data!$E$3:$BI$3, 0) + 4)),
    "P"
  )
  /
  (
    COUNTIFS(
      Attendance_data!$B$4:$B$1000,AA$4,
      INDIRECT("Attendance_data!" &amp; ADDRESS(4, MATCH($B21, Attendance_data!$E$3:$BI$3, 0) + 4) &amp; ":" &amp;
               ADDRESS(1000, MATCH($B21, Attendance_data!$E$3:$BI$3, 0) + 4)),
      "P"
    )
    +
    COUNTIFS(
      Attendance_data!$B$4:$B$1000,AA$4,
      INDIRECT("Attendance_data!" &amp; ADDRESS(4, MATCH($B21, Attendance_data!$E$3:$BI$3, 0) + 4) &amp; ":" &amp;
               ADDRESS(1000, MATCH($B21, Attendance_data!$E$3:$BI$3, 0) + 4)),
      "A"
    )
  ),"")</f>
        <v/>
      </c>
      <c r="AB21" s="19">
        <f t="shared" si="3"/>
        <v>0.6932796098</v>
      </c>
      <c r="AC21" s="1"/>
      <c r="AD21" s="1"/>
      <c r="AE21" s="1"/>
      <c r="AF21" s="1"/>
      <c r="AG21" s="1"/>
      <c r="AH21" s="1"/>
    </row>
    <row r="22">
      <c r="A22" s="14">
        <f t="shared" si="2"/>
        <v>18</v>
      </c>
      <c r="B22" s="15" t="s">
        <v>72</v>
      </c>
      <c r="C22" s="15" t="s">
        <v>73</v>
      </c>
      <c r="D22" s="15" t="s">
        <v>66</v>
      </c>
      <c r="E22" s="15" t="s">
        <v>21</v>
      </c>
      <c r="F22" s="15">
        <v>9.506650309E9</v>
      </c>
      <c r="G22" s="15" t="s">
        <v>27</v>
      </c>
      <c r="H22" s="15">
        <v>2025.0</v>
      </c>
      <c r="I22" s="16" t="s">
        <v>23</v>
      </c>
      <c r="J22" s="17">
        <v>13.0</v>
      </c>
      <c r="K22" s="17">
        <v>18.0</v>
      </c>
      <c r="L22" s="17">
        <v>29.0</v>
      </c>
      <c r="M22" s="17">
        <v>21.0</v>
      </c>
      <c r="N22" s="17">
        <v>21.0</v>
      </c>
      <c r="O22" s="17">
        <v>23.0</v>
      </c>
      <c r="P22" s="18" t="str">
        <f t="array" ref="P22">IFERROR(
  COUNTIFS(Attendance_data!$B$4:$B$1000,P$4,
    INDIRECT("Attendance_data!" &amp; ADDRESS(4, MATCH($B22, Attendance_data!$E$3:$BI$3, 0) + 4) &amp; ":" &amp;
             ADDRESS(1000, MATCH($B22, Attendance_data!$E$3:$BI$3, 0) + 4)),
    "P"
  )
  /
  (
    COUNTIFS(
      Attendance_data!$B$4:$B$1000,P$4,
      INDIRECT("Attendance_data!" &amp; ADDRESS(4, MATCH($B22, Attendance_data!$E$3:$BI$3, 0) + 4) &amp; ":" &amp;
               ADDRESS(1000, MATCH($B22, Attendance_data!$E$3:$BI$3, 0) + 4)),
      "P"
    )
    +
    COUNTIFS(
      Attendance_data!$B$4:$B$1000,P$4,
      INDIRECT("Attendance_data!" &amp; ADDRESS(4, MATCH($B22, Attendance_data!$E$3:$BI$3, 0) + 4) &amp; ":" &amp;
               ADDRESS(1000, MATCH($B22, Attendance_data!$E$3:$BI$3, 0) + 4)),
      "A"
    )
  ),"")</f>
        <v/>
      </c>
      <c r="Q22" s="18">
        <f t="array" ref="Q22">IFERROR(
  COUNTIFS(Attendance_data!$B$4:$B$1000,Q$4,
    INDIRECT("Attendance_data!" &amp; ADDRESS(4, MATCH($B22, Attendance_data!$E$3:$BI$3, 0) + 4) &amp; ":" &amp;
             ADDRESS(1000, MATCH($B22, Attendance_data!$E$3:$BI$3, 0) + 4)),
    "P"
  )
  /
  (
    COUNTIFS(
      Attendance_data!$B$4:$B$1000,Q$4,
      INDIRECT("Attendance_data!" &amp; ADDRESS(4, MATCH($B22, Attendance_data!$E$3:$BI$3, 0) + 4) &amp; ":" &amp;
               ADDRESS(1000, MATCH($B22, Attendance_data!$E$3:$BI$3, 0) + 4)),
      "P"
    )
    +
    COUNTIFS(
      Attendance_data!$B$4:$B$1000,Q$4,
      INDIRECT("Attendance_data!" &amp; ADDRESS(4, MATCH($B22, Attendance_data!$E$3:$BI$3, 0) + 4) &amp; ":" &amp;
               ADDRESS(1000, MATCH($B22, Attendance_data!$E$3:$BI$3, 0) + 4)),
      "A"
    )
  ),"")</f>
        <v>1</v>
      </c>
      <c r="R22" s="18">
        <f t="array" ref="R22">IFERROR(
  COUNTIFS(Attendance_data!$B$4:$B$1000,R$4,
    INDIRECT("Attendance_data!" &amp; ADDRESS(4, MATCH($B22, Attendance_data!$E$3:$BI$3, 0) + 4) &amp; ":" &amp;
             ADDRESS(1000, MATCH($B22, Attendance_data!$E$3:$BI$3, 0) + 4)),
    "P"
  )
  /
  (
    COUNTIFS(
      Attendance_data!$B$4:$B$1000,R$4,
      INDIRECT("Attendance_data!" &amp; ADDRESS(4, MATCH($B22, Attendance_data!$E$3:$BI$3, 0) + 4) &amp; ":" &amp;
               ADDRESS(1000, MATCH($B22, Attendance_data!$E$3:$BI$3, 0) + 4)),
      "P"
    )
    +
    COUNTIFS(
      Attendance_data!$B$4:$B$1000,R$4,
      INDIRECT("Attendance_data!" &amp; ADDRESS(4, MATCH($B22, Attendance_data!$E$3:$BI$3, 0) + 4) &amp; ":" &amp;
               ADDRESS(1000, MATCH($B22, Attendance_data!$E$3:$BI$3, 0) + 4)),
      "A"
    )
  ),"")</f>
        <v>1</v>
      </c>
      <c r="S22" s="18">
        <f t="array" ref="S22">IFERROR(
  COUNTIFS(Attendance_data!$B$4:$B$1000,S$4,
    INDIRECT("Attendance_data!" &amp; ADDRESS(4, MATCH($B22, Attendance_data!$E$3:$BI$3, 0) + 4) &amp; ":" &amp;
             ADDRESS(1000, MATCH($B22, Attendance_data!$E$3:$BI$3, 0) + 4)),
    "P"
  )
  /
  (
    COUNTIFS(
      Attendance_data!$B$4:$B$1000,S$4,
      INDIRECT("Attendance_data!" &amp; ADDRESS(4, MATCH($B22, Attendance_data!$E$3:$BI$3, 0) + 4) &amp; ":" &amp;
               ADDRESS(1000, MATCH($B22, Attendance_data!$E$3:$BI$3, 0) + 4)),
      "P"
    )
    +
    COUNTIFS(
      Attendance_data!$B$4:$B$1000,S$4,
      INDIRECT("Attendance_data!" &amp; ADDRESS(4, MATCH($B22, Attendance_data!$E$3:$BI$3, 0) + 4) &amp; ":" &amp;
               ADDRESS(1000, MATCH($B22, Attendance_data!$E$3:$BI$3, 0) + 4)),
      "A"
    )
  ),"")</f>
        <v>0.9545454545</v>
      </c>
      <c r="T22" s="18">
        <f t="array" ref="T22">IFERROR(
  COUNTIFS(Attendance_data!$B$4:$B$1000,T$4,
    INDIRECT("Attendance_data!" &amp; ADDRESS(4, MATCH($B22, Attendance_data!$E$3:$BI$3, 0) + 4) &amp; ":" &amp;
             ADDRESS(1000, MATCH($B22, Attendance_data!$E$3:$BI$3, 0) + 4)),
    "P"
  )
  /
  (
    COUNTIFS(
      Attendance_data!$B$4:$B$1000,T$4,
      INDIRECT("Attendance_data!" &amp; ADDRESS(4, MATCH($B22, Attendance_data!$E$3:$BI$3, 0) + 4) &amp; ":" &amp;
               ADDRESS(1000, MATCH($B22, Attendance_data!$E$3:$BI$3, 0) + 4)),
      "P"
    )
    +
    COUNTIFS(
      Attendance_data!$B$4:$B$1000,T$4,
      INDIRECT("Attendance_data!" &amp; ADDRESS(4, MATCH($B22, Attendance_data!$E$3:$BI$3, 0) + 4) &amp; ":" &amp;
               ADDRESS(1000, MATCH($B22, Attendance_data!$E$3:$BI$3, 0) + 4)),
      "A"
    )
  ),"")</f>
        <v>0.8</v>
      </c>
      <c r="U22" s="18">
        <f t="array" ref="U22">IFERROR(
  COUNTIFS(Attendance_data!$B$4:$B$1000,U$4,
    INDIRECT("Attendance_data!" &amp; ADDRESS(4, MATCH($B22, Attendance_data!$E$3:$BI$3, 0) + 4) &amp; ":" &amp;
             ADDRESS(1000, MATCH($B22, Attendance_data!$E$3:$BI$3, 0) + 4)),
    "P"
  )
  /
  (
    COUNTIFS(
      Attendance_data!$B$4:$B$1000,U$4,
      INDIRECT("Attendance_data!" &amp; ADDRESS(4, MATCH($B22, Attendance_data!$E$3:$BI$3, 0) + 4) &amp; ":" &amp;
               ADDRESS(1000, MATCH($B22, Attendance_data!$E$3:$BI$3, 0) + 4)),
      "P"
    )
    +
    COUNTIFS(
      Attendance_data!$B$4:$B$1000,U$4,
      INDIRECT("Attendance_data!" &amp; ADDRESS(4, MATCH($B22, Attendance_data!$E$3:$BI$3, 0) + 4) &amp; ":" &amp;
               ADDRESS(1000, MATCH($B22, Attendance_data!$E$3:$BI$3, 0) + 4)),
      "A"
    )
  ),"")</f>
        <v>0.76</v>
      </c>
      <c r="V22" s="18">
        <f t="array" ref="V22">IFERROR(
  COUNTIFS(Attendance_data!$B$4:$B$1000,V$4,
    INDIRECT("Attendance_data!" &amp; ADDRESS(4, MATCH($B22, Attendance_data!$E$3:$BI$3, 0) + 4) &amp; ":" &amp;
             ADDRESS(1000, MATCH($B22, Attendance_data!$E$3:$BI$3, 0) + 4)),
    "P"
  )
  /
  (
    COUNTIFS(
      Attendance_data!$B$4:$B$1000,V$4,
      INDIRECT("Attendance_data!" &amp; ADDRESS(4, MATCH($B22, Attendance_data!$E$3:$BI$3, 0) + 4) &amp; ":" &amp;
               ADDRESS(1000, MATCH($B22, Attendance_data!$E$3:$BI$3, 0) + 4)),
      "P"
    )
    +
    COUNTIFS(
      Attendance_data!$B$4:$B$1000,V$4,
      INDIRECT("Attendance_data!" &amp; ADDRESS(4, MATCH($B22, Attendance_data!$E$3:$BI$3, 0) + 4) &amp; ":" &amp;
               ADDRESS(1000, MATCH($B22, Attendance_data!$E$3:$BI$3, 0) + 4)),
      "A"
    )
  ),"")</f>
        <v>0.8</v>
      </c>
      <c r="W22" s="18">
        <f t="array" ref="W22">IFERROR(
  COUNTIFS(Attendance_data!$B$4:$B$1000,W$4,
    INDIRECT("Attendance_data!" &amp; ADDRESS(4, MATCH($B22, Attendance_data!$E$3:$BI$3, 0) + 4) &amp; ":" &amp;
             ADDRESS(1000, MATCH($B22, Attendance_data!$E$3:$BI$3, 0) + 4)),
    "P"
  )
  /
  (
    COUNTIFS(
      Attendance_data!$B$4:$B$1000,W$4,
      INDIRECT("Attendance_data!" &amp; ADDRESS(4, MATCH($B22, Attendance_data!$E$3:$BI$3, 0) + 4) &amp; ":" &amp;
               ADDRESS(1000, MATCH($B22, Attendance_data!$E$3:$BI$3, 0) + 4)),
      "P"
    )
    +
    COUNTIFS(
      Attendance_data!$B$4:$B$1000,W$4,
      INDIRECT("Attendance_data!" &amp; ADDRESS(4, MATCH($B22, Attendance_data!$E$3:$BI$3, 0) + 4) &amp; ":" &amp;
               ADDRESS(1000, MATCH($B22, Attendance_data!$E$3:$BI$3, 0) + 4)),
      "A"
    )
  ),"")</f>
        <v>0.64</v>
      </c>
      <c r="X22" s="18">
        <f t="array" ref="X22">IFERROR(
  COUNTIFS(Attendance_data!$B$4:$B$1000,X$4,
    INDIRECT("Attendance_data!" &amp; ADDRESS(4, MATCH($B22, Attendance_data!$E$3:$BI$3, 0) + 4) &amp; ":" &amp;
             ADDRESS(1000, MATCH($B22, Attendance_data!$E$3:$BI$3, 0) + 4)),
    "P"
  )
  /
  (
    COUNTIFS(
      Attendance_data!$B$4:$B$1000,X$4,
      INDIRECT("Attendance_data!" &amp; ADDRESS(4, MATCH($B22, Attendance_data!$E$3:$BI$3, 0) + 4) &amp; ":" &amp;
               ADDRESS(1000, MATCH($B22, Attendance_data!$E$3:$BI$3, 0) + 4)),
      "P"
    )
    +
    COUNTIFS(
      Attendance_data!$B$4:$B$1000,X$4,
      INDIRECT("Attendance_data!" &amp; ADDRESS(4, MATCH($B22, Attendance_data!$E$3:$BI$3, 0) + 4) &amp; ":" &amp;
               ADDRESS(1000, MATCH($B22, Attendance_data!$E$3:$BI$3, 0) + 4)),
      "A"
    )
  ),"")</f>
        <v>0.4285714286</v>
      </c>
      <c r="Y22" s="18">
        <f t="array" ref="Y22">IFERROR(
  COUNTIFS(Attendance_data!$B$4:$B$1000,Y$4,
    INDIRECT("Attendance_data!" &amp; ADDRESS(4, MATCH($B22, Attendance_data!$E$3:$BI$3, 0) + 4) &amp; ":" &amp;
             ADDRESS(1000, MATCH($B22, Attendance_data!$E$3:$BI$3, 0) + 4)),
    "P"
  )
  /
  (
    COUNTIFS(
      Attendance_data!$B$4:$B$1000,Y$4,
      INDIRECT("Attendance_data!" &amp; ADDRESS(4, MATCH($B22, Attendance_data!$E$3:$BI$3, 0) + 4) &amp; ":" &amp;
               ADDRESS(1000, MATCH($B22, Attendance_data!$E$3:$BI$3, 0) + 4)),
      "P"
    )
    +
    COUNTIFS(
      Attendance_data!$B$4:$B$1000,Y$4,
      INDIRECT("Attendance_data!" &amp; ADDRESS(4, MATCH($B22, Attendance_data!$E$3:$BI$3, 0) + 4) &amp; ":" &amp;
               ADDRESS(1000, MATCH($B22, Attendance_data!$E$3:$BI$3, 0) + 4)),
      "A"
    )
  ),"")</f>
        <v>0.8333333333</v>
      </c>
      <c r="Z22" s="18">
        <f t="array" ref="Z22">IFERROR(
  COUNTIFS(Attendance_data!$B$4:$B$1000,Z$4,
    INDIRECT("Attendance_data!" &amp; ADDRESS(4, MATCH($B22, Attendance_data!$E$3:$BI$3, 0) + 4) &amp; ":" &amp;
             ADDRESS(1000, MATCH($B22, Attendance_data!$E$3:$BI$3, 0) + 4)),
    "P"
  )
  /
  (
    COUNTIFS(
      Attendance_data!$B$4:$B$1000,Z$4,
      INDIRECT("Attendance_data!" &amp; ADDRESS(4, MATCH($B22, Attendance_data!$E$3:$BI$3, 0) + 4) &amp; ":" &amp;
               ADDRESS(1000, MATCH($B22, Attendance_data!$E$3:$BI$3, 0) + 4)),
      "P"
    )
    +
    COUNTIFS(
      Attendance_data!$B$4:$B$1000,Z$4,
      INDIRECT("Attendance_data!" &amp; ADDRESS(4, MATCH($B22, Attendance_data!$E$3:$BI$3, 0) + 4) &amp; ":" &amp;
               ADDRESS(1000, MATCH($B22, Attendance_data!$E$3:$BI$3, 0) + 4)),
      "A"
    )
  ),"")</f>
        <v>1</v>
      </c>
      <c r="AA22" s="18" t="str">
        <f t="array" ref="AA22">IFERROR(
  COUNTIFS(Attendance_data!$B$4:$B$1000,AA$4,
    INDIRECT("Attendance_data!" &amp; ADDRESS(4, MATCH($B22, Attendance_data!$E$3:$BI$3, 0) + 4) &amp; ":" &amp;
             ADDRESS(1000, MATCH($B22, Attendance_data!$E$3:$BI$3, 0) + 4)),
    "P"
  )
  /
  (
    COUNTIFS(
      Attendance_data!$B$4:$B$1000,AA$4,
      INDIRECT("Attendance_data!" &amp; ADDRESS(4, MATCH($B22, Attendance_data!$E$3:$BI$3, 0) + 4) &amp; ":" &amp;
               ADDRESS(1000, MATCH($B22, Attendance_data!$E$3:$BI$3, 0) + 4)),
      "P"
    )
    +
    COUNTIFS(
      Attendance_data!$B$4:$B$1000,AA$4,
      INDIRECT("Attendance_data!" &amp; ADDRESS(4, MATCH($B22, Attendance_data!$E$3:$BI$3, 0) + 4) &amp; ":" &amp;
               ADDRESS(1000, MATCH($B22, Attendance_data!$E$3:$BI$3, 0) + 4)),
      "A"
    )
  ),"")</f>
        <v/>
      </c>
      <c r="AB22" s="19">
        <f t="shared" si="3"/>
        <v>0.8216450216</v>
      </c>
      <c r="AC22" s="1"/>
      <c r="AD22" s="1"/>
      <c r="AE22" s="1"/>
      <c r="AF22" s="1"/>
      <c r="AG22" s="1"/>
      <c r="AH22" s="1"/>
    </row>
    <row r="23">
      <c r="A23" s="14">
        <f t="shared" si="2"/>
        <v>19</v>
      </c>
      <c r="B23" s="15" t="s">
        <v>74</v>
      </c>
      <c r="C23" s="15" t="s">
        <v>75</v>
      </c>
      <c r="D23" s="15" t="s">
        <v>76</v>
      </c>
      <c r="E23" s="15" t="s">
        <v>38</v>
      </c>
      <c r="F23" s="15">
        <v>8.928462944E9</v>
      </c>
      <c r="G23" s="15" t="s">
        <v>63</v>
      </c>
      <c r="H23" s="15">
        <v>2025.0</v>
      </c>
      <c r="I23" s="16" t="s">
        <v>23</v>
      </c>
      <c r="J23" s="17">
        <v>11.0</v>
      </c>
      <c r="K23" s="17">
        <v>20.0</v>
      </c>
      <c r="L23" s="17">
        <v>16.0</v>
      </c>
      <c r="M23" s="17">
        <v>24.0</v>
      </c>
      <c r="N23" s="17">
        <v>15.0</v>
      </c>
      <c r="O23" s="17">
        <v>18.0</v>
      </c>
      <c r="P23" s="18">
        <f t="array" ref="P23">IFERROR(
  COUNTIFS(Attendance_data!$B$4:$B$1000,P$4,
    INDIRECT("Attendance_data!" &amp; ADDRESS(4, MATCH($B23, Attendance_data!$E$3:$BI$3, 0) + 4) &amp; ":" &amp;
             ADDRESS(1000, MATCH($B23, Attendance_data!$E$3:$BI$3, 0) + 4)),
    "P"
  )
  /
  (
    COUNTIFS(
      Attendance_data!$B$4:$B$1000,P$4,
      INDIRECT("Attendance_data!" &amp; ADDRESS(4, MATCH($B23, Attendance_data!$E$3:$BI$3, 0) + 4) &amp; ":" &amp;
               ADDRESS(1000, MATCH($B23, Attendance_data!$E$3:$BI$3, 0) + 4)),
      "P"
    )
    +
    COUNTIFS(
      Attendance_data!$B$4:$B$1000,P$4,
      INDIRECT("Attendance_data!" &amp; ADDRESS(4, MATCH($B23, Attendance_data!$E$3:$BI$3, 0) + 4) &amp; ":" &amp;
               ADDRESS(1000, MATCH($B23, Attendance_data!$E$3:$BI$3, 0) + 4)),
      "A"
    )
  ),"")</f>
        <v>0.7142857143</v>
      </c>
      <c r="Q23" s="18">
        <f t="array" ref="Q23">IFERROR(
  COUNTIFS(Attendance_data!$B$4:$B$1000,Q$4,
    INDIRECT("Attendance_data!" &amp; ADDRESS(4, MATCH($B23, Attendance_data!$E$3:$BI$3, 0) + 4) &amp; ":" &amp;
             ADDRESS(1000, MATCH($B23, Attendance_data!$E$3:$BI$3, 0) + 4)),
    "P"
  )
  /
  (
    COUNTIFS(
      Attendance_data!$B$4:$B$1000,Q$4,
      INDIRECT("Attendance_data!" &amp; ADDRESS(4, MATCH($B23, Attendance_data!$E$3:$BI$3, 0) + 4) &amp; ":" &amp;
               ADDRESS(1000, MATCH($B23, Attendance_data!$E$3:$BI$3, 0) + 4)),
      "P"
    )
    +
    COUNTIFS(
      Attendance_data!$B$4:$B$1000,Q$4,
      INDIRECT("Attendance_data!" &amp; ADDRESS(4, MATCH($B23, Attendance_data!$E$3:$BI$3, 0) + 4) &amp; ":" &amp;
               ADDRESS(1000, MATCH($B23, Attendance_data!$E$3:$BI$3, 0) + 4)),
      "A"
    )
  ),"")</f>
        <v>0.7692307692</v>
      </c>
      <c r="R23" s="18">
        <f t="array" ref="R23">IFERROR(
  COUNTIFS(Attendance_data!$B$4:$B$1000,R$4,
    INDIRECT("Attendance_data!" &amp; ADDRESS(4, MATCH($B23, Attendance_data!$E$3:$BI$3, 0) + 4) &amp; ":" &amp;
             ADDRESS(1000, MATCH($B23, Attendance_data!$E$3:$BI$3, 0) + 4)),
    "P"
  )
  /
  (
    COUNTIFS(
      Attendance_data!$B$4:$B$1000,R$4,
      INDIRECT("Attendance_data!" &amp; ADDRESS(4, MATCH($B23, Attendance_data!$E$3:$BI$3, 0) + 4) &amp; ":" &amp;
               ADDRESS(1000, MATCH($B23, Attendance_data!$E$3:$BI$3, 0) + 4)),
      "P"
    )
    +
    COUNTIFS(
      Attendance_data!$B$4:$B$1000,R$4,
      INDIRECT("Attendance_data!" &amp; ADDRESS(4, MATCH($B23, Attendance_data!$E$3:$BI$3, 0) + 4) &amp; ":" &amp;
               ADDRESS(1000, MATCH($B23, Attendance_data!$E$3:$BI$3, 0) + 4)),
      "A"
    )
  ),"")</f>
        <v>0.6315789474</v>
      </c>
      <c r="S23" s="18">
        <f t="array" ref="S23">IFERROR(
  COUNTIFS(Attendance_data!$B$4:$B$1000,S$4,
    INDIRECT("Attendance_data!" &amp; ADDRESS(4, MATCH($B23, Attendance_data!$E$3:$BI$3, 0) + 4) &amp; ":" &amp;
             ADDRESS(1000, MATCH($B23, Attendance_data!$E$3:$BI$3, 0) + 4)),
    "P"
  )
  /
  (
    COUNTIFS(
      Attendance_data!$B$4:$B$1000,S$4,
      INDIRECT("Attendance_data!" &amp; ADDRESS(4, MATCH($B23, Attendance_data!$E$3:$BI$3, 0) + 4) &amp; ":" &amp;
               ADDRESS(1000, MATCH($B23, Attendance_data!$E$3:$BI$3, 0) + 4)),
      "P"
    )
    +
    COUNTIFS(
      Attendance_data!$B$4:$B$1000,S$4,
      INDIRECT("Attendance_data!" &amp; ADDRESS(4, MATCH($B23, Attendance_data!$E$3:$BI$3, 0) + 4) &amp; ":" &amp;
               ADDRESS(1000, MATCH($B23, Attendance_data!$E$3:$BI$3, 0) + 4)),
      "A"
    )
  ),"")</f>
        <v>0.9545454545</v>
      </c>
      <c r="T23" s="18">
        <f t="array" ref="T23">IFERROR(
  COUNTIFS(Attendance_data!$B$4:$B$1000,T$4,
    INDIRECT("Attendance_data!" &amp; ADDRESS(4, MATCH($B23, Attendance_data!$E$3:$BI$3, 0) + 4) &amp; ":" &amp;
             ADDRESS(1000, MATCH($B23, Attendance_data!$E$3:$BI$3, 0) + 4)),
    "P"
  )
  /
  (
    COUNTIFS(
      Attendance_data!$B$4:$B$1000,T$4,
      INDIRECT("Attendance_data!" &amp; ADDRESS(4, MATCH($B23, Attendance_data!$E$3:$BI$3, 0) + 4) &amp; ":" &amp;
               ADDRESS(1000, MATCH($B23, Attendance_data!$E$3:$BI$3, 0) + 4)),
      "P"
    )
    +
    COUNTIFS(
      Attendance_data!$B$4:$B$1000,T$4,
      INDIRECT("Attendance_data!" &amp; ADDRESS(4, MATCH($B23, Attendance_data!$E$3:$BI$3, 0) + 4) &amp; ":" &amp;
               ADDRESS(1000, MATCH($B23, Attendance_data!$E$3:$BI$3, 0) + 4)),
      "A"
    )
  ),"")</f>
        <v>0.9</v>
      </c>
      <c r="U23" s="18">
        <f t="array" ref="U23">IFERROR(
  COUNTIFS(Attendance_data!$B$4:$B$1000,U$4,
    INDIRECT("Attendance_data!" &amp; ADDRESS(4, MATCH($B23, Attendance_data!$E$3:$BI$3, 0) + 4) &amp; ":" &amp;
             ADDRESS(1000, MATCH($B23, Attendance_data!$E$3:$BI$3, 0) + 4)),
    "P"
  )
  /
  (
    COUNTIFS(
      Attendance_data!$B$4:$B$1000,U$4,
      INDIRECT("Attendance_data!" &amp; ADDRESS(4, MATCH($B23, Attendance_data!$E$3:$BI$3, 0) + 4) &amp; ":" &amp;
               ADDRESS(1000, MATCH($B23, Attendance_data!$E$3:$BI$3, 0) + 4)),
      "P"
    )
    +
    COUNTIFS(
      Attendance_data!$B$4:$B$1000,U$4,
      INDIRECT("Attendance_data!" &amp; ADDRESS(4, MATCH($B23, Attendance_data!$E$3:$BI$3, 0) + 4) &amp; ":" &amp;
               ADDRESS(1000, MATCH($B23, Attendance_data!$E$3:$BI$3, 0) + 4)),
      "A"
    )
  ),"")</f>
        <v>0.88</v>
      </c>
      <c r="V23" s="18">
        <f t="array" ref="V23">IFERROR(
  COUNTIFS(Attendance_data!$B$4:$B$1000,V$4,
    INDIRECT("Attendance_data!" &amp; ADDRESS(4, MATCH($B23, Attendance_data!$E$3:$BI$3, 0) + 4) &amp; ":" &amp;
             ADDRESS(1000, MATCH($B23, Attendance_data!$E$3:$BI$3, 0) + 4)),
    "P"
  )
  /
  (
    COUNTIFS(
      Attendance_data!$B$4:$B$1000,V$4,
      INDIRECT("Attendance_data!" &amp; ADDRESS(4, MATCH($B23, Attendance_data!$E$3:$BI$3, 0) + 4) &amp; ":" &amp;
               ADDRESS(1000, MATCH($B23, Attendance_data!$E$3:$BI$3, 0) + 4)),
      "P"
    )
    +
    COUNTIFS(
      Attendance_data!$B$4:$B$1000,V$4,
      INDIRECT("Attendance_data!" &amp; ADDRESS(4, MATCH($B23, Attendance_data!$E$3:$BI$3, 0) + 4) &amp; ":" &amp;
               ADDRESS(1000, MATCH($B23, Attendance_data!$E$3:$BI$3, 0) + 4)),
      "A"
    )
  ),"")</f>
        <v>0.88</v>
      </c>
      <c r="W23" s="18">
        <f t="array" ref="W23">IFERROR(
  COUNTIFS(Attendance_data!$B$4:$B$1000,W$4,
    INDIRECT("Attendance_data!" &amp; ADDRESS(4, MATCH($B23, Attendance_data!$E$3:$BI$3, 0) + 4) &amp; ":" &amp;
             ADDRESS(1000, MATCH($B23, Attendance_data!$E$3:$BI$3, 0) + 4)),
    "P"
  )
  /
  (
    COUNTIFS(
      Attendance_data!$B$4:$B$1000,W$4,
      INDIRECT("Attendance_data!" &amp; ADDRESS(4, MATCH($B23, Attendance_data!$E$3:$BI$3, 0) + 4) &amp; ":" &amp;
               ADDRESS(1000, MATCH($B23, Attendance_data!$E$3:$BI$3, 0) + 4)),
      "P"
    )
    +
    COUNTIFS(
      Attendance_data!$B$4:$B$1000,W$4,
      INDIRECT("Attendance_data!" &amp; ADDRESS(4, MATCH($B23, Attendance_data!$E$3:$BI$3, 0) + 4) &amp; ":" &amp;
               ADDRESS(1000, MATCH($B23, Attendance_data!$E$3:$BI$3, 0) + 4)),
      "A"
    )
  ),"")</f>
        <v>0.92</v>
      </c>
      <c r="X23" s="18">
        <f t="array" ref="X23">IFERROR(
  COUNTIFS(Attendance_data!$B$4:$B$1000,X$4,
    INDIRECT("Attendance_data!" &amp; ADDRESS(4, MATCH($B23, Attendance_data!$E$3:$BI$3, 0) + 4) &amp; ":" &amp;
             ADDRESS(1000, MATCH($B23, Attendance_data!$E$3:$BI$3, 0) + 4)),
    "P"
  )
  /
  (
    COUNTIFS(
      Attendance_data!$B$4:$B$1000,X$4,
      INDIRECT("Attendance_data!" &amp; ADDRESS(4, MATCH($B23, Attendance_data!$E$3:$BI$3, 0) + 4) &amp; ":" &amp;
               ADDRESS(1000, MATCH($B23, Attendance_data!$E$3:$BI$3, 0) + 4)),
      "P"
    )
    +
    COUNTIFS(
      Attendance_data!$B$4:$B$1000,X$4,
      INDIRECT("Attendance_data!" &amp; ADDRESS(4, MATCH($B23, Attendance_data!$E$3:$BI$3, 0) + 4) &amp; ":" &amp;
               ADDRESS(1000, MATCH($B23, Attendance_data!$E$3:$BI$3, 0) + 4)),
      "A"
    )
  ),"")</f>
        <v>0.9523809524</v>
      </c>
      <c r="Y23" s="18">
        <f t="array" ref="Y23">IFERROR(
  COUNTIFS(Attendance_data!$B$4:$B$1000,Y$4,
    INDIRECT("Attendance_data!" &amp; ADDRESS(4, MATCH($B23, Attendance_data!$E$3:$BI$3, 0) + 4) &amp; ":" &amp;
             ADDRESS(1000, MATCH($B23, Attendance_data!$E$3:$BI$3, 0) + 4)),
    "P"
  )
  /
  (
    COUNTIFS(
      Attendance_data!$B$4:$B$1000,Y$4,
      INDIRECT("Attendance_data!" &amp; ADDRESS(4, MATCH($B23, Attendance_data!$E$3:$BI$3, 0) + 4) &amp; ":" &amp;
               ADDRESS(1000, MATCH($B23, Attendance_data!$E$3:$BI$3, 0) + 4)),
      "P"
    )
    +
    COUNTIFS(
      Attendance_data!$B$4:$B$1000,Y$4,
      INDIRECT("Attendance_data!" &amp; ADDRESS(4, MATCH($B23, Attendance_data!$E$3:$BI$3, 0) + 4) &amp; ":" &amp;
               ADDRESS(1000, MATCH($B23, Attendance_data!$E$3:$BI$3, 0) + 4)),
      "A"
    )
  ),"")</f>
        <v>1</v>
      </c>
      <c r="Z23" s="18">
        <f t="array" ref="Z23">IFERROR(
  COUNTIFS(Attendance_data!$B$4:$B$1000,Z$4,
    INDIRECT("Attendance_data!" &amp; ADDRESS(4, MATCH($B23, Attendance_data!$E$3:$BI$3, 0) + 4) &amp; ":" &amp;
             ADDRESS(1000, MATCH($B23, Attendance_data!$E$3:$BI$3, 0) + 4)),
    "P"
  )
  /
  (
    COUNTIFS(
      Attendance_data!$B$4:$B$1000,Z$4,
      INDIRECT("Attendance_data!" &amp; ADDRESS(4, MATCH($B23, Attendance_data!$E$3:$BI$3, 0) + 4) &amp; ":" &amp;
               ADDRESS(1000, MATCH($B23, Attendance_data!$E$3:$BI$3, 0) + 4)),
      "P"
    )
    +
    COUNTIFS(
      Attendance_data!$B$4:$B$1000,Z$4,
      INDIRECT("Attendance_data!" &amp; ADDRESS(4, MATCH($B23, Attendance_data!$E$3:$BI$3, 0) + 4) &amp; ":" &amp;
               ADDRESS(1000, MATCH($B23, Attendance_data!$E$3:$BI$3, 0) + 4)),
      "A"
    )
  ),"")</f>
        <v>1</v>
      </c>
      <c r="AA23" s="18" t="str">
        <f t="array" ref="AA23">IFERROR(
  COUNTIFS(Attendance_data!$B$4:$B$1000,AA$4,
    INDIRECT("Attendance_data!" &amp; ADDRESS(4, MATCH($B23, Attendance_data!$E$3:$BI$3, 0) + 4) &amp; ":" &amp;
             ADDRESS(1000, MATCH($B23, Attendance_data!$E$3:$BI$3, 0) + 4)),
    "P"
  )
  /
  (
    COUNTIFS(
      Attendance_data!$B$4:$B$1000,AA$4,
      INDIRECT("Attendance_data!" &amp; ADDRESS(4, MATCH($B23, Attendance_data!$E$3:$BI$3, 0) + 4) &amp; ":" &amp;
               ADDRESS(1000, MATCH($B23, Attendance_data!$E$3:$BI$3, 0) + 4)),
      "P"
    )
    +
    COUNTIFS(
      Attendance_data!$B$4:$B$1000,AA$4,
      INDIRECT("Attendance_data!" &amp; ADDRESS(4, MATCH($B23, Attendance_data!$E$3:$BI$3, 0) + 4) &amp; ":" &amp;
               ADDRESS(1000, MATCH($B23, Attendance_data!$E$3:$BI$3, 0) + 4)),
      "A"
    )
  ),"")</f>
        <v/>
      </c>
      <c r="AB23" s="19">
        <f t="shared" si="3"/>
        <v>0.8729110762</v>
      </c>
      <c r="AC23" s="1"/>
      <c r="AD23" s="1"/>
      <c r="AE23" s="1"/>
      <c r="AF23" s="1"/>
      <c r="AG23" s="1"/>
      <c r="AH23" s="1"/>
    </row>
    <row r="24">
      <c r="A24" s="14">
        <f t="shared" si="2"/>
        <v>20</v>
      </c>
      <c r="B24" s="15" t="s">
        <v>77</v>
      </c>
      <c r="C24" s="15" t="s">
        <v>78</v>
      </c>
      <c r="D24" s="15" t="s">
        <v>59</v>
      </c>
      <c r="E24" s="15" t="s">
        <v>21</v>
      </c>
      <c r="F24" s="15">
        <v>8.081157498E9</v>
      </c>
      <c r="G24" s="15" t="s">
        <v>79</v>
      </c>
      <c r="H24" s="15">
        <v>2025.0</v>
      </c>
      <c r="I24" s="16" t="s">
        <v>23</v>
      </c>
      <c r="J24" s="17">
        <v>21.0</v>
      </c>
      <c r="K24" s="17">
        <v>26.0</v>
      </c>
      <c r="L24" s="17">
        <v>23.0</v>
      </c>
      <c r="M24" s="17">
        <v>16.0</v>
      </c>
      <c r="N24" s="17">
        <v>20.0</v>
      </c>
      <c r="O24" s="17">
        <v>20.0</v>
      </c>
      <c r="P24" s="18" t="str">
        <f t="array" ref="P24">IFERROR(
  COUNTIFS(Attendance_data!$B$4:$B$1000,P$4,
    INDIRECT("Attendance_data!" &amp; ADDRESS(4, MATCH($B24, Attendance_data!$E$3:$BI$3, 0) + 4) &amp; ":" &amp;
             ADDRESS(1000, MATCH($B24, Attendance_data!$E$3:$BI$3, 0) + 4)),
    "P"
  )
  /
  (
    COUNTIFS(
      Attendance_data!$B$4:$B$1000,P$4,
      INDIRECT("Attendance_data!" &amp; ADDRESS(4, MATCH($B24, Attendance_data!$E$3:$BI$3, 0) + 4) &amp; ":" &amp;
               ADDRESS(1000, MATCH($B24, Attendance_data!$E$3:$BI$3, 0) + 4)),
      "P"
    )
    +
    COUNTIFS(
      Attendance_data!$B$4:$B$1000,P$4,
      INDIRECT("Attendance_data!" &amp; ADDRESS(4, MATCH($B24, Attendance_data!$E$3:$BI$3, 0) + 4) &amp; ":" &amp;
               ADDRESS(1000, MATCH($B24, Attendance_data!$E$3:$BI$3, 0) + 4)),
      "A"
    )
  ),"")</f>
        <v/>
      </c>
      <c r="Q24" s="18">
        <f t="array" ref="Q24">IFERROR(
  COUNTIFS(Attendance_data!$B$4:$B$1000,Q$4,
    INDIRECT("Attendance_data!" &amp; ADDRESS(4, MATCH($B24, Attendance_data!$E$3:$BI$3, 0) + 4) &amp; ":" &amp;
             ADDRESS(1000, MATCH($B24, Attendance_data!$E$3:$BI$3, 0) + 4)),
    "P"
  )
  /
  (
    COUNTIFS(
      Attendance_data!$B$4:$B$1000,Q$4,
      INDIRECT("Attendance_data!" &amp; ADDRESS(4, MATCH($B24, Attendance_data!$E$3:$BI$3, 0) + 4) &amp; ":" &amp;
               ADDRESS(1000, MATCH($B24, Attendance_data!$E$3:$BI$3, 0) + 4)),
      "P"
    )
    +
    COUNTIFS(
      Attendance_data!$B$4:$B$1000,Q$4,
      INDIRECT("Attendance_data!" &amp; ADDRESS(4, MATCH($B24, Attendance_data!$E$3:$BI$3, 0) + 4) &amp; ":" &amp;
               ADDRESS(1000, MATCH($B24, Attendance_data!$E$3:$BI$3, 0) + 4)),
      "A"
    )
  ),"")</f>
        <v>0.9230769231</v>
      </c>
      <c r="R24" s="18">
        <f t="array" ref="R24">IFERROR(
  COUNTIFS(Attendance_data!$B$4:$B$1000,R$4,
    INDIRECT("Attendance_data!" &amp; ADDRESS(4, MATCH($B24, Attendance_data!$E$3:$BI$3, 0) + 4) &amp; ":" &amp;
             ADDRESS(1000, MATCH($B24, Attendance_data!$E$3:$BI$3, 0) + 4)),
    "P"
  )
  /
  (
    COUNTIFS(
      Attendance_data!$B$4:$B$1000,R$4,
      INDIRECT("Attendance_data!" &amp; ADDRESS(4, MATCH($B24, Attendance_data!$E$3:$BI$3, 0) + 4) &amp; ":" &amp;
               ADDRESS(1000, MATCH($B24, Attendance_data!$E$3:$BI$3, 0) + 4)),
      "P"
    )
    +
    COUNTIFS(
      Attendance_data!$B$4:$B$1000,R$4,
      INDIRECT("Attendance_data!" &amp; ADDRESS(4, MATCH($B24, Attendance_data!$E$3:$BI$3, 0) + 4) &amp; ":" &amp;
               ADDRESS(1000, MATCH($B24, Attendance_data!$E$3:$BI$3, 0) + 4)),
      "A"
    )
  ),"")</f>
        <v>1</v>
      </c>
      <c r="S24" s="18">
        <f t="array" ref="S24">IFERROR(
  COUNTIFS(Attendance_data!$B$4:$B$1000,S$4,
    INDIRECT("Attendance_data!" &amp; ADDRESS(4, MATCH($B24, Attendance_data!$E$3:$BI$3, 0) + 4) &amp; ":" &amp;
             ADDRESS(1000, MATCH($B24, Attendance_data!$E$3:$BI$3, 0) + 4)),
    "P"
  )
  /
  (
    COUNTIFS(
      Attendance_data!$B$4:$B$1000,S$4,
      INDIRECT("Attendance_data!" &amp; ADDRESS(4, MATCH($B24, Attendance_data!$E$3:$BI$3, 0) + 4) &amp; ":" &amp;
               ADDRESS(1000, MATCH($B24, Attendance_data!$E$3:$BI$3, 0) + 4)),
      "P"
    )
    +
    COUNTIFS(
      Attendance_data!$B$4:$B$1000,S$4,
      INDIRECT("Attendance_data!" &amp; ADDRESS(4, MATCH($B24, Attendance_data!$E$3:$BI$3, 0) + 4) &amp; ":" &amp;
               ADDRESS(1000, MATCH($B24, Attendance_data!$E$3:$BI$3, 0) + 4)),
      "A"
    )
  ),"")</f>
        <v>0.7272727273</v>
      </c>
      <c r="T24" s="18">
        <f t="array" ref="T24">IFERROR(
  COUNTIFS(Attendance_data!$B$4:$B$1000,T$4,
    INDIRECT("Attendance_data!" &amp; ADDRESS(4, MATCH($B24, Attendance_data!$E$3:$BI$3, 0) + 4) &amp; ":" &amp;
             ADDRESS(1000, MATCH($B24, Attendance_data!$E$3:$BI$3, 0) + 4)),
    "P"
  )
  /
  (
    COUNTIFS(
      Attendance_data!$B$4:$B$1000,T$4,
      INDIRECT("Attendance_data!" &amp; ADDRESS(4, MATCH($B24, Attendance_data!$E$3:$BI$3, 0) + 4) &amp; ":" &amp;
               ADDRESS(1000, MATCH($B24, Attendance_data!$E$3:$BI$3, 0) + 4)),
      "P"
    )
    +
    COUNTIFS(
      Attendance_data!$B$4:$B$1000,T$4,
      INDIRECT("Attendance_data!" &amp; ADDRESS(4, MATCH($B24, Attendance_data!$E$3:$BI$3, 0) + 4) &amp; ":" &amp;
               ADDRESS(1000, MATCH($B24, Attendance_data!$E$3:$BI$3, 0) + 4)),
      "A"
    )
  ),"")</f>
        <v>0.6</v>
      </c>
      <c r="U24" s="18">
        <f t="array" ref="U24">IFERROR(
  COUNTIFS(Attendance_data!$B$4:$B$1000,U$4,
    INDIRECT("Attendance_data!" &amp; ADDRESS(4, MATCH($B24, Attendance_data!$E$3:$BI$3, 0) + 4) &amp; ":" &amp;
             ADDRESS(1000, MATCH($B24, Attendance_data!$E$3:$BI$3, 0) + 4)),
    "P"
  )
  /
  (
    COUNTIFS(
      Attendance_data!$B$4:$B$1000,U$4,
      INDIRECT("Attendance_data!" &amp; ADDRESS(4, MATCH($B24, Attendance_data!$E$3:$BI$3, 0) + 4) &amp; ":" &amp;
               ADDRESS(1000, MATCH($B24, Attendance_data!$E$3:$BI$3, 0) + 4)),
      "P"
    )
    +
    COUNTIFS(
      Attendance_data!$B$4:$B$1000,U$4,
      INDIRECT("Attendance_data!" &amp; ADDRESS(4, MATCH($B24, Attendance_data!$E$3:$BI$3, 0) + 4) &amp; ":" &amp;
               ADDRESS(1000, MATCH($B24, Attendance_data!$E$3:$BI$3, 0) + 4)),
      "A"
    )
  ),"")</f>
        <v>0.92</v>
      </c>
      <c r="V24" s="18">
        <f t="array" ref="V24">IFERROR(
  COUNTIFS(Attendance_data!$B$4:$B$1000,V$4,
    INDIRECT("Attendance_data!" &amp; ADDRESS(4, MATCH($B24, Attendance_data!$E$3:$BI$3, 0) + 4) &amp; ":" &amp;
             ADDRESS(1000, MATCH($B24, Attendance_data!$E$3:$BI$3, 0) + 4)),
    "P"
  )
  /
  (
    COUNTIFS(
      Attendance_data!$B$4:$B$1000,V$4,
      INDIRECT("Attendance_data!" &amp; ADDRESS(4, MATCH($B24, Attendance_data!$E$3:$BI$3, 0) + 4) &amp; ":" &amp;
               ADDRESS(1000, MATCH($B24, Attendance_data!$E$3:$BI$3, 0) + 4)),
      "P"
    )
    +
    COUNTIFS(
      Attendance_data!$B$4:$B$1000,V$4,
      INDIRECT("Attendance_data!" &amp; ADDRESS(4, MATCH($B24, Attendance_data!$E$3:$BI$3, 0) + 4) &amp; ":" &amp;
               ADDRESS(1000, MATCH($B24, Attendance_data!$E$3:$BI$3, 0) + 4)),
      "A"
    )
  ),"")</f>
        <v>0.88</v>
      </c>
      <c r="W24" s="18">
        <f t="array" ref="W24">IFERROR(
  COUNTIFS(Attendance_data!$B$4:$B$1000,W$4,
    INDIRECT("Attendance_data!" &amp; ADDRESS(4, MATCH($B24, Attendance_data!$E$3:$BI$3, 0) + 4) &amp; ":" &amp;
             ADDRESS(1000, MATCH($B24, Attendance_data!$E$3:$BI$3, 0) + 4)),
    "P"
  )
  /
  (
    COUNTIFS(
      Attendance_data!$B$4:$B$1000,W$4,
      INDIRECT("Attendance_data!" &amp; ADDRESS(4, MATCH($B24, Attendance_data!$E$3:$BI$3, 0) + 4) &amp; ":" &amp;
               ADDRESS(1000, MATCH($B24, Attendance_data!$E$3:$BI$3, 0) + 4)),
      "P"
    )
    +
    COUNTIFS(
      Attendance_data!$B$4:$B$1000,W$4,
      INDIRECT("Attendance_data!" &amp; ADDRESS(4, MATCH($B24, Attendance_data!$E$3:$BI$3, 0) + 4) &amp; ":" &amp;
               ADDRESS(1000, MATCH($B24, Attendance_data!$E$3:$BI$3, 0) + 4)),
      "A"
    )
  ),"")</f>
        <v>0.88</v>
      </c>
      <c r="X24" s="18">
        <f t="array" ref="X24">IFERROR(
  COUNTIFS(Attendance_data!$B$4:$B$1000,X$4,
    INDIRECT("Attendance_data!" &amp; ADDRESS(4, MATCH($B24, Attendance_data!$E$3:$BI$3, 0) + 4) &amp; ":" &amp;
             ADDRESS(1000, MATCH($B24, Attendance_data!$E$3:$BI$3, 0) + 4)),
    "P"
  )
  /
  (
    COUNTIFS(
      Attendance_data!$B$4:$B$1000,X$4,
      INDIRECT("Attendance_data!" &amp; ADDRESS(4, MATCH($B24, Attendance_data!$E$3:$BI$3, 0) + 4) &amp; ":" &amp;
               ADDRESS(1000, MATCH($B24, Attendance_data!$E$3:$BI$3, 0) + 4)),
      "P"
    )
    +
    COUNTIFS(
      Attendance_data!$B$4:$B$1000,X$4,
      INDIRECT("Attendance_data!" &amp; ADDRESS(4, MATCH($B24, Attendance_data!$E$3:$BI$3, 0) + 4) &amp; ":" &amp;
               ADDRESS(1000, MATCH($B24, Attendance_data!$E$3:$BI$3, 0) + 4)),
      "A"
    )
  ),"")</f>
        <v>0.9523809524</v>
      </c>
      <c r="Y24" s="18">
        <f t="array" ref="Y24">IFERROR(
  COUNTIFS(Attendance_data!$B$4:$B$1000,Y$4,
    INDIRECT("Attendance_data!" &amp; ADDRESS(4, MATCH($B24, Attendance_data!$E$3:$BI$3, 0) + 4) &amp; ":" &amp;
             ADDRESS(1000, MATCH($B24, Attendance_data!$E$3:$BI$3, 0) + 4)),
    "P"
  )
  /
  (
    COUNTIFS(
      Attendance_data!$B$4:$B$1000,Y$4,
      INDIRECT("Attendance_data!" &amp; ADDRESS(4, MATCH($B24, Attendance_data!$E$3:$BI$3, 0) + 4) &amp; ":" &amp;
               ADDRESS(1000, MATCH($B24, Attendance_data!$E$3:$BI$3, 0) + 4)),
      "P"
    )
    +
    COUNTIFS(
      Attendance_data!$B$4:$B$1000,Y$4,
      INDIRECT("Attendance_data!" &amp; ADDRESS(4, MATCH($B24, Attendance_data!$E$3:$BI$3, 0) + 4) &amp; ":" &amp;
               ADDRESS(1000, MATCH($B24, Attendance_data!$E$3:$BI$3, 0) + 4)),
      "A"
    )
  ),"")</f>
        <v>0.875</v>
      </c>
      <c r="Z24" s="18">
        <f t="array" ref="Z24">IFERROR(
  COUNTIFS(Attendance_data!$B$4:$B$1000,Z$4,
    INDIRECT("Attendance_data!" &amp; ADDRESS(4, MATCH($B24, Attendance_data!$E$3:$BI$3, 0) + 4) &amp; ":" &amp;
             ADDRESS(1000, MATCH($B24, Attendance_data!$E$3:$BI$3, 0) + 4)),
    "P"
  )
  /
  (
    COUNTIFS(
      Attendance_data!$B$4:$B$1000,Z$4,
      INDIRECT("Attendance_data!" &amp; ADDRESS(4, MATCH($B24, Attendance_data!$E$3:$BI$3, 0) + 4) &amp; ":" &amp;
               ADDRESS(1000, MATCH($B24, Attendance_data!$E$3:$BI$3, 0) + 4)),
      "P"
    )
    +
    COUNTIFS(
      Attendance_data!$B$4:$B$1000,Z$4,
      INDIRECT("Attendance_data!" &amp; ADDRESS(4, MATCH($B24, Attendance_data!$E$3:$BI$3, 0) + 4) &amp; ":" &amp;
               ADDRESS(1000, MATCH($B24, Attendance_data!$E$3:$BI$3, 0) + 4)),
      "A"
    )
  ),"")</f>
        <v>0.8888888889</v>
      </c>
      <c r="AA24" s="18" t="str">
        <f t="array" ref="AA24">IFERROR(
  COUNTIFS(Attendance_data!$B$4:$B$1000,AA$4,
    INDIRECT("Attendance_data!" &amp; ADDRESS(4, MATCH($B24, Attendance_data!$E$3:$BI$3, 0) + 4) &amp; ":" &amp;
             ADDRESS(1000, MATCH($B24, Attendance_data!$E$3:$BI$3, 0) + 4)),
    "P"
  )
  /
  (
    COUNTIFS(
      Attendance_data!$B$4:$B$1000,AA$4,
      INDIRECT("Attendance_data!" &amp; ADDRESS(4, MATCH($B24, Attendance_data!$E$3:$BI$3, 0) + 4) &amp; ":" &amp;
               ADDRESS(1000, MATCH($B24, Attendance_data!$E$3:$BI$3, 0) + 4)),
      "P"
    )
    +
    COUNTIFS(
      Attendance_data!$B$4:$B$1000,AA$4,
      INDIRECT("Attendance_data!" &amp; ADDRESS(4, MATCH($B24, Attendance_data!$E$3:$BI$3, 0) + 4) &amp; ":" &amp;
               ADDRESS(1000, MATCH($B24, Attendance_data!$E$3:$BI$3, 0) + 4)),
      "A"
    )
  ),"")</f>
        <v/>
      </c>
      <c r="AB24" s="19">
        <f t="shared" si="3"/>
        <v>0.8646619492</v>
      </c>
      <c r="AC24" s="1"/>
      <c r="AD24" s="1"/>
      <c r="AE24" s="1"/>
      <c r="AF24" s="1"/>
      <c r="AG24" s="1"/>
      <c r="AH24" s="1"/>
    </row>
    <row r="25">
      <c r="A25" s="14">
        <f t="shared" si="2"/>
        <v>21</v>
      </c>
      <c r="B25" s="15" t="s">
        <v>80</v>
      </c>
      <c r="C25" s="15" t="s">
        <v>81</v>
      </c>
      <c r="D25" s="15" t="s">
        <v>82</v>
      </c>
      <c r="E25" s="15" t="s">
        <v>38</v>
      </c>
      <c r="F25" s="15">
        <v>7.309359111E9</v>
      </c>
      <c r="G25" s="15" t="s">
        <v>39</v>
      </c>
      <c r="H25" s="15">
        <v>2025.0</v>
      </c>
      <c r="I25" s="16" t="s">
        <v>23</v>
      </c>
      <c r="J25" s="17">
        <v>17.0</v>
      </c>
      <c r="K25" s="17">
        <v>19.0</v>
      </c>
      <c r="L25" s="17">
        <v>19.0</v>
      </c>
      <c r="M25" s="17">
        <v>18.0</v>
      </c>
      <c r="N25" s="17">
        <v>20.0</v>
      </c>
      <c r="O25" s="17">
        <v>22.5</v>
      </c>
      <c r="P25" s="18" t="str">
        <f t="array" ref="P25">IFERROR(
  COUNTIFS(Attendance_data!$B$4:$B$1000,P$4,
    INDIRECT("Attendance_data!" &amp; ADDRESS(4, MATCH($B25, Attendance_data!$E$3:$BI$3, 0) + 4) &amp; ":" &amp;
             ADDRESS(1000, MATCH($B25, Attendance_data!$E$3:$BI$3, 0) + 4)),
    "P"
  )
  /
  (
    COUNTIFS(
      Attendance_data!$B$4:$B$1000,P$4,
      INDIRECT("Attendance_data!" &amp; ADDRESS(4, MATCH($B25, Attendance_data!$E$3:$BI$3, 0) + 4) &amp; ":" &amp;
               ADDRESS(1000, MATCH($B25, Attendance_data!$E$3:$BI$3, 0) + 4)),
      "P"
    )
    +
    COUNTIFS(
      Attendance_data!$B$4:$B$1000,P$4,
      INDIRECT("Attendance_data!" &amp; ADDRESS(4, MATCH($B25, Attendance_data!$E$3:$BI$3, 0) + 4) &amp; ":" &amp;
               ADDRESS(1000, MATCH($B25, Attendance_data!$E$3:$BI$3, 0) + 4)),
      "A"
    )
  ),"")</f>
        <v/>
      </c>
      <c r="Q25" s="18">
        <f t="array" ref="Q25">IFERROR(
  COUNTIFS(Attendance_data!$B$4:$B$1000,Q$4,
    INDIRECT("Attendance_data!" &amp; ADDRESS(4, MATCH($B25, Attendance_data!$E$3:$BI$3, 0) + 4) &amp; ":" &amp;
             ADDRESS(1000, MATCH($B25, Attendance_data!$E$3:$BI$3, 0) + 4)),
    "P"
  )
  /
  (
    COUNTIFS(
      Attendance_data!$B$4:$B$1000,Q$4,
      INDIRECT("Attendance_data!" &amp; ADDRESS(4, MATCH($B25, Attendance_data!$E$3:$BI$3, 0) + 4) &amp; ":" &amp;
               ADDRESS(1000, MATCH($B25, Attendance_data!$E$3:$BI$3, 0) + 4)),
      "P"
    )
    +
    COUNTIFS(
      Attendance_data!$B$4:$B$1000,Q$4,
      INDIRECT("Attendance_data!" &amp; ADDRESS(4, MATCH($B25, Attendance_data!$E$3:$BI$3, 0) + 4) &amp; ":" &amp;
               ADDRESS(1000, MATCH($B25, Attendance_data!$E$3:$BI$3, 0) + 4)),
      "A"
    )
  ),"")</f>
        <v>0.9615384615</v>
      </c>
      <c r="R25" s="18">
        <f t="array" ref="R25">IFERROR(
  COUNTIFS(Attendance_data!$B$4:$B$1000,R$4,
    INDIRECT("Attendance_data!" &amp; ADDRESS(4, MATCH($B25, Attendance_data!$E$3:$BI$3, 0) + 4) &amp; ":" &amp;
             ADDRESS(1000, MATCH($B25, Attendance_data!$E$3:$BI$3, 0) + 4)),
    "P"
  )
  /
  (
    COUNTIFS(
      Attendance_data!$B$4:$B$1000,R$4,
      INDIRECT("Attendance_data!" &amp; ADDRESS(4, MATCH($B25, Attendance_data!$E$3:$BI$3, 0) + 4) &amp; ":" &amp;
               ADDRESS(1000, MATCH($B25, Attendance_data!$E$3:$BI$3, 0) + 4)),
      "P"
    )
    +
    COUNTIFS(
      Attendance_data!$B$4:$B$1000,R$4,
      INDIRECT("Attendance_data!" &amp; ADDRESS(4, MATCH($B25, Attendance_data!$E$3:$BI$3, 0) + 4) &amp; ":" &amp;
               ADDRESS(1000, MATCH($B25, Attendance_data!$E$3:$BI$3, 0) + 4)),
      "A"
    )
  ),"")</f>
        <v>0.6842105263</v>
      </c>
      <c r="S25" s="18">
        <f t="array" ref="S25">IFERROR(
  COUNTIFS(Attendance_data!$B$4:$B$1000,S$4,
    INDIRECT("Attendance_data!" &amp; ADDRESS(4, MATCH($B25, Attendance_data!$E$3:$BI$3, 0) + 4) &amp; ":" &amp;
             ADDRESS(1000, MATCH($B25, Attendance_data!$E$3:$BI$3, 0) + 4)),
    "P"
  )
  /
  (
    COUNTIFS(
      Attendance_data!$B$4:$B$1000,S$4,
      INDIRECT("Attendance_data!" &amp; ADDRESS(4, MATCH($B25, Attendance_data!$E$3:$BI$3, 0) + 4) &amp; ":" &amp;
               ADDRESS(1000, MATCH($B25, Attendance_data!$E$3:$BI$3, 0) + 4)),
      "P"
    )
    +
    COUNTIFS(
      Attendance_data!$B$4:$B$1000,S$4,
      INDIRECT("Attendance_data!" &amp; ADDRESS(4, MATCH($B25, Attendance_data!$E$3:$BI$3, 0) + 4) &amp; ":" &amp;
               ADDRESS(1000, MATCH($B25, Attendance_data!$E$3:$BI$3, 0) + 4)),
      "A"
    )
  ),"")</f>
        <v>0.9545454545</v>
      </c>
      <c r="T25" s="18">
        <f t="array" ref="T25">IFERROR(
  COUNTIFS(Attendance_data!$B$4:$B$1000,T$4,
    INDIRECT("Attendance_data!" &amp; ADDRESS(4, MATCH($B25, Attendance_data!$E$3:$BI$3, 0) + 4) &amp; ":" &amp;
             ADDRESS(1000, MATCH($B25, Attendance_data!$E$3:$BI$3, 0) + 4)),
    "P"
  )
  /
  (
    COUNTIFS(
      Attendance_data!$B$4:$B$1000,T$4,
      INDIRECT("Attendance_data!" &amp; ADDRESS(4, MATCH($B25, Attendance_data!$E$3:$BI$3, 0) + 4) &amp; ":" &amp;
               ADDRESS(1000, MATCH($B25, Attendance_data!$E$3:$BI$3, 0) + 4)),
      "P"
    )
    +
    COUNTIFS(
      Attendance_data!$B$4:$B$1000,T$4,
      INDIRECT("Attendance_data!" &amp; ADDRESS(4, MATCH($B25, Attendance_data!$E$3:$BI$3, 0) + 4) &amp; ":" &amp;
               ADDRESS(1000, MATCH($B25, Attendance_data!$E$3:$BI$3, 0) + 4)),
      "A"
    )
  ),"")</f>
        <v>0.75</v>
      </c>
      <c r="U25" s="18">
        <f t="array" ref="U25">IFERROR(
  COUNTIFS(Attendance_data!$B$4:$B$1000,U$4,
    INDIRECT("Attendance_data!" &amp; ADDRESS(4, MATCH($B25, Attendance_data!$E$3:$BI$3, 0) + 4) &amp; ":" &amp;
             ADDRESS(1000, MATCH($B25, Attendance_data!$E$3:$BI$3, 0) + 4)),
    "P"
  )
  /
  (
    COUNTIFS(
      Attendance_data!$B$4:$B$1000,U$4,
      INDIRECT("Attendance_data!" &amp; ADDRESS(4, MATCH($B25, Attendance_data!$E$3:$BI$3, 0) + 4) &amp; ":" &amp;
               ADDRESS(1000, MATCH($B25, Attendance_data!$E$3:$BI$3, 0) + 4)),
      "P"
    )
    +
    COUNTIFS(
      Attendance_data!$B$4:$B$1000,U$4,
      INDIRECT("Attendance_data!" &amp; ADDRESS(4, MATCH($B25, Attendance_data!$E$3:$BI$3, 0) + 4) &amp; ":" &amp;
               ADDRESS(1000, MATCH($B25, Attendance_data!$E$3:$BI$3, 0) + 4)),
      "A"
    )
  ),"")</f>
        <v>0.2</v>
      </c>
      <c r="V25" s="18">
        <f t="array" ref="V25">IFERROR(
  COUNTIFS(Attendance_data!$B$4:$B$1000,V$4,
    INDIRECT("Attendance_data!" &amp; ADDRESS(4, MATCH($B25, Attendance_data!$E$3:$BI$3, 0) + 4) &amp; ":" &amp;
             ADDRESS(1000, MATCH($B25, Attendance_data!$E$3:$BI$3, 0) + 4)),
    "P"
  )
  /
  (
    COUNTIFS(
      Attendance_data!$B$4:$B$1000,V$4,
      INDIRECT("Attendance_data!" &amp; ADDRESS(4, MATCH($B25, Attendance_data!$E$3:$BI$3, 0) + 4) &amp; ":" &amp;
               ADDRESS(1000, MATCH($B25, Attendance_data!$E$3:$BI$3, 0) + 4)),
      "P"
    )
    +
    COUNTIFS(
      Attendance_data!$B$4:$B$1000,V$4,
      INDIRECT("Attendance_data!" &amp; ADDRESS(4, MATCH($B25, Attendance_data!$E$3:$BI$3, 0) + 4) &amp; ":" &amp;
               ADDRESS(1000, MATCH($B25, Attendance_data!$E$3:$BI$3, 0) + 4)),
      "A"
    )
  ),"")</f>
        <v>0</v>
      </c>
      <c r="W25" s="18">
        <f t="array" ref="W25">IFERROR(
  COUNTIFS(Attendance_data!$B$4:$B$1000,W$4,
    INDIRECT("Attendance_data!" &amp; ADDRESS(4, MATCH($B25, Attendance_data!$E$3:$BI$3, 0) + 4) &amp; ":" &amp;
             ADDRESS(1000, MATCH($B25, Attendance_data!$E$3:$BI$3, 0) + 4)),
    "P"
  )
  /
  (
    COUNTIFS(
      Attendance_data!$B$4:$B$1000,W$4,
      INDIRECT("Attendance_data!" &amp; ADDRESS(4, MATCH($B25, Attendance_data!$E$3:$BI$3, 0) + 4) &amp; ":" &amp;
               ADDRESS(1000, MATCH($B25, Attendance_data!$E$3:$BI$3, 0) + 4)),
      "P"
    )
    +
    COUNTIFS(
      Attendance_data!$B$4:$B$1000,W$4,
      INDIRECT("Attendance_data!" &amp; ADDRESS(4, MATCH($B25, Attendance_data!$E$3:$BI$3, 0) + 4) &amp; ":" &amp;
               ADDRESS(1000, MATCH($B25, Attendance_data!$E$3:$BI$3, 0) + 4)),
      "A"
    )
  ),"")</f>
        <v>0</v>
      </c>
      <c r="X25" s="18">
        <f t="array" ref="X25">IFERROR(
  COUNTIFS(Attendance_data!$B$4:$B$1000,X$4,
    INDIRECT("Attendance_data!" &amp; ADDRESS(4, MATCH($B25, Attendance_data!$E$3:$BI$3, 0) + 4) &amp; ":" &amp;
             ADDRESS(1000, MATCH($B25, Attendance_data!$E$3:$BI$3, 0) + 4)),
    "P"
  )
  /
  (
    COUNTIFS(
      Attendance_data!$B$4:$B$1000,X$4,
      INDIRECT("Attendance_data!" &amp; ADDRESS(4, MATCH($B25, Attendance_data!$E$3:$BI$3, 0) + 4) &amp; ":" &amp;
               ADDRESS(1000, MATCH($B25, Attendance_data!$E$3:$BI$3, 0) + 4)),
      "P"
    )
    +
    COUNTIFS(
      Attendance_data!$B$4:$B$1000,X$4,
      INDIRECT("Attendance_data!" &amp; ADDRESS(4, MATCH($B25, Attendance_data!$E$3:$BI$3, 0) + 4) &amp; ":" &amp;
               ADDRESS(1000, MATCH($B25, Attendance_data!$E$3:$BI$3, 0) + 4)),
      "A"
    )
  ),"")</f>
        <v>0.4285714286</v>
      </c>
      <c r="Y25" s="18">
        <f t="array" ref="Y25">IFERROR(
  COUNTIFS(Attendance_data!$B$4:$B$1000,Y$4,
    INDIRECT("Attendance_data!" &amp; ADDRESS(4, MATCH($B25, Attendance_data!$E$3:$BI$3, 0) + 4) &amp; ":" &amp;
             ADDRESS(1000, MATCH($B25, Attendance_data!$E$3:$BI$3, 0) + 4)),
    "P"
  )
  /
  (
    COUNTIFS(
      Attendance_data!$B$4:$B$1000,Y$4,
      INDIRECT("Attendance_data!" &amp; ADDRESS(4, MATCH($B25, Attendance_data!$E$3:$BI$3, 0) + 4) &amp; ":" &amp;
               ADDRESS(1000, MATCH($B25, Attendance_data!$E$3:$BI$3, 0) + 4)),
      "P"
    )
    +
    COUNTIFS(
      Attendance_data!$B$4:$B$1000,Y$4,
      INDIRECT("Attendance_data!" &amp; ADDRESS(4, MATCH($B25, Attendance_data!$E$3:$BI$3, 0) + 4) &amp; ":" &amp;
               ADDRESS(1000, MATCH($B25, Attendance_data!$E$3:$BI$3, 0) + 4)),
      "A"
    )
  ),"")</f>
        <v>0.3333333333</v>
      </c>
      <c r="Z25" s="18">
        <f t="array" ref="Z25">IFERROR(
  COUNTIFS(Attendance_data!$B$4:$B$1000,Z$4,
    INDIRECT("Attendance_data!" &amp; ADDRESS(4, MATCH($B25, Attendance_data!$E$3:$BI$3, 0) + 4) &amp; ":" &amp;
             ADDRESS(1000, MATCH($B25, Attendance_data!$E$3:$BI$3, 0) + 4)),
    "P"
  )
  /
  (
    COUNTIFS(
      Attendance_data!$B$4:$B$1000,Z$4,
      INDIRECT("Attendance_data!" &amp; ADDRESS(4, MATCH($B25, Attendance_data!$E$3:$BI$3, 0) + 4) &amp; ":" &amp;
               ADDRESS(1000, MATCH($B25, Attendance_data!$E$3:$BI$3, 0) + 4)),
      "P"
    )
    +
    COUNTIFS(
      Attendance_data!$B$4:$B$1000,Z$4,
      INDIRECT("Attendance_data!" &amp; ADDRESS(4, MATCH($B25, Attendance_data!$E$3:$BI$3, 0) + 4) &amp; ":" &amp;
               ADDRESS(1000, MATCH($B25, Attendance_data!$E$3:$BI$3, 0) + 4)),
      "A"
    )
  ),"")</f>
        <v>0</v>
      </c>
      <c r="AA25" s="18" t="str">
        <f t="array" ref="AA25">IFERROR(
  COUNTIFS(Attendance_data!$B$4:$B$1000,AA$4,
    INDIRECT("Attendance_data!" &amp; ADDRESS(4, MATCH($B25, Attendance_data!$E$3:$BI$3, 0) + 4) &amp; ":" &amp;
             ADDRESS(1000, MATCH($B25, Attendance_data!$E$3:$BI$3, 0) + 4)),
    "P"
  )
  /
  (
    COUNTIFS(
      Attendance_data!$B$4:$B$1000,AA$4,
      INDIRECT("Attendance_data!" &amp; ADDRESS(4, MATCH($B25, Attendance_data!$E$3:$BI$3, 0) + 4) &amp; ":" &amp;
               ADDRESS(1000, MATCH($B25, Attendance_data!$E$3:$BI$3, 0) + 4)),
      "P"
    )
    +
    COUNTIFS(
      Attendance_data!$B$4:$B$1000,AA$4,
      INDIRECT("Attendance_data!" &amp; ADDRESS(4, MATCH($B25, Attendance_data!$E$3:$BI$3, 0) + 4) &amp; ":" &amp;
               ADDRESS(1000, MATCH($B25, Attendance_data!$E$3:$BI$3, 0) + 4)),
      "A"
    )
  ),"")</f>
        <v/>
      </c>
      <c r="AB25" s="19">
        <f t="shared" si="3"/>
        <v>0.6160284578</v>
      </c>
      <c r="AC25" s="1"/>
      <c r="AD25" s="1"/>
      <c r="AE25" s="1"/>
      <c r="AF25" s="1"/>
      <c r="AG25" s="1"/>
      <c r="AH25" s="1"/>
    </row>
    <row r="26">
      <c r="A26" s="14">
        <f t="shared" si="2"/>
        <v>22</v>
      </c>
      <c r="B26" s="21" t="s">
        <v>83</v>
      </c>
      <c r="C26" s="21" t="s">
        <v>84</v>
      </c>
      <c r="D26" s="21" t="s">
        <v>20</v>
      </c>
      <c r="E26" s="21" t="s">
        <v>21</v>
      </c>
      <c r="F26" s="21">
        <v>7.715903788E9</v>
      </c>
      <c r="G26" s="21" t="s">
        <v>85</v>
      </c>
      <c r="H26" s="21">
        <v>2025.0</v>
      </c>
      <c r="I26" s="16" t="s">
        <v>23</v>
      </c>
      <c r="J26" s="17">
        <v>29.0</v>
      </c>
      <c r="K26" s="17">
        <v>28.0</v>
      </c>
      <c r="L26" s="17">
        <v>28.0</v>
      </c>
      <c r="M26" s="17">
        <v>26.0</v>
      </c>
      <c r="N26" s="17">
        <v>30.0</v>
      </c>
      <c r="O26" s="17">
        <v>22.0</v>
      </c>
      <c r="P26" s="18">
        <f t="array" ref="P26">IFERROR(
  COUNTIFS(Attendance_data!$B$4:$B$1000,P$4,
    INDIRECT("Attendance_data!" &amp; ADDRESS(4, MATCH($B26, Attendance_data!$E$3:$BI$3, 0) + 4) &amp; ":" &amp;
             ADDRESS(1000, MATCH($B26, Attendance_data!$E$3:$BI$3, 0) + 4)),
    "P"
  )
  /
  (
    COUNTIFS(
      Attendance_data!$B$4:$B$1000,P$4,
      INDIRECT("Attendance_data!" &amp; ADDRESS(4, MATCH($B26, Attendance_data!$E$3:$BI$3, 0) + 4) &amp; ":" &amp;
               ADDRESS(1000, MATCH($B26, Attendance_data!$E$3:$BI$3, 0) + 4)),
      "P"
    )
    +
    COUNTIFS(
      Attendance_data!$B$4:$B$1000,P$4,
      INDIRECT("Attendance_data!" &amp; ADDRESS(4, MATCH($B26, Attendance_data!$E$3:$BI$3, 0) + 4) &amp; ":" &amp;
               ADDRESS(1000, MATCH($B26, Attendance_data!$E$3:$BI$3, 0) + 4)),
      "A"
    )
  ),"")</f>
        <v>0.7142857143</v>
      </c>
      <c r="Q26" s="18">
        <f t="array" ref="Q26">IFERROR(
  COUNTIFS(Attendance_data!$B$4:$B$1000,Q$4,
    INDIRECT("Attendance_data!" &amp; ADDRESS(4, MATCH($B26, Attendance_data!$E$3:$BI$3, 0) + 4) &amp; ":" &amp;
             ADDRESS(1000, MATCH($B26, Attendance_data!$E$3:$BI$3, 0) + 4)),
    "P"
  )
  /
  (
    COUNTIFS(
      Attendance_data!$B$4:$B$1000,Q$4,
      INDIRECT("Attendance_data!" &amp; ADDRESS(4, MATCH($B26, Attendance_data!$E$3:$BI$3, 0) + 4) &amp; ":" &amp;
               ADDRESS(1000, MATCH($B26, Attendance_data!$E$3:$BI$3, 0) + 4)),
      "P"
    )
    +
    COUNTIFS(
      Attendance_data!$B$4:$B$1000,Q$4,
      INDIRECT("Attendance_data!" &amp; ADDRESS(4, MATCH($B26, Attendance_data!$E$3:$BI$3, 0) + 4) &amp; ":" &amp;
               ADDRESS(1000, MATCH($B26, Attendance_data!$E$3:$BI$3, 0) + 4)),
      "A"
    )
  ),"")</f>
        <v>0.8076923077</v>
      </c>
      <c r="R26" s="18">
        <f t="array" ref="R26">IFERROR(
  COUNTIFS(Attendance_data!$B$4:$B$1000,R$4,
    INDIRECT("Attendance_data!" &amp; ADDRESS(4, MATCH($B26, Attendance_data!$E$3:$BI$3, 0) + 4) &amp; ":" &amp;
             ADDRESS(1000, MATCH($B26, Attendance_data!$E$3:$BI$3, 0) + 4)),
    "P"
  )
  /
  (
    COUNTIFS(
      Attendance_data!$B$4:$B$1000,R$4,
      INDIRECT("Attendance_data!" &amp; ADDRESS(4, MATCH($B26, Attendance_data!$E$3:$BI$3, 0) + 4) &amp; ":" &amp;
               ADDRESS(1000, MATCH($B26, Attendance_data!$E$3:$BI$3, 0) + 4)),
      "P"
    )
    +
    COUNTIFS(
      Attendance_data!$B$4:$B$1000,R$4,
      INDIRECT("Attendance_data!" &amp; ADDRESS(4, MATCH($B26, Attendance_data!$E$3:$BI$3, 0) + 4) &amp; ":" &amp;
               ADDRESS(1000, MATCH($B26, Attendance_data!$E$3:$BI$3, 0) + 4)),
      "A"
    )
  ),"")</f>
        <v>0.7894736842</v>
      </c>
      <c r="S26" s="18">
        <f t="array" ref="S26">IFERROR(
  COUNTIFS(Attendance_data!$B$4:$B$1000,S$4,
    INDIRECT("Attendance_data!" &amp; ADDRESS(4, MATCH($B26, Attendance_data!$E$3:$BI$3, 0) + 4) &amp; ":" &amp;
             ADDRESS(1000, MATCH($B26, Attendance_data!$E$3:$BI$3, 0) + 4)),
    "P"
  )
  /
  (
    COUNTIFS(
      Attendance_data!$B$4:$B$1000,S$4,
      INDIRECT("Attendance_data!" &amp; ADDRESS(4, MATCH($B26, Attendance_data!$E$3:$BI$3, 0) + 4) &amp; ":" &amp;
               ADDRESS(1000, MATCH($B26, Attendance_data!$E$3:$BI$3, 0) + 4)),
      "P"
    )
    +
    COUNTIFS(
      Attendance_data!$B$4:$B$1000,S$4,
      INDIRECT("Attendance_data!" &amp; ADDRESS(4, MATCH($B26, Attendance_data!$E$3:$BI$3, 0) + 4) &amp; ":" &amp;
               ADDRESS(1000, MATCH($B26, Attendance_data!$E$3:$BI$3, 0) + 4)),
      "A"
    )
  ),"")</f>
        <v>0.7272727273</v>
      </c>
      <c r="T26" s="18">
        <f t="array" ref="T26">IFERROR(
  COUNTIFS(Attendance_data!$B$4:$B$1000,T$4,
    INDIRECT("Attendance_data!" &amp; ADDRESS(4, MATCH($B26, Attendance_data!$E$3:$BI$3, 0) + 4) &amp; ":" &amp;
             ADDRESS(1000, MATCH($B26, Attendance_data!$E$3:$BI$3, 0) + 4)),
    "P"
  )
  /
  (
    COUNTIFS(
      Attendance_data!$B$4:$B$1000,T$4,
      INDIRECT("Attendance_data!" &amp; ADDRESS(4, MATCH($B26, Attendance_data!$E$3:$BI$3, 0) + 4) &amp; ":" &amp;
               ADDRESS(1000, MATCH($B26, Attendance_data!$E$3:$BI$3, 0) + 4)),
      "P"
    )
    +
    COUNTIFS(
      Attendance_data!$B$4:$B$1000,T$4,
      INDIRECT("Attendance_data!" &amp; ADDRESS(4, MATCH($B26, Attendance_data!$E$3:$BI$3, 0) + 4) &amp; ":" &amp;
               ADDRESS(1000, MATCH($B26, Attendance_data!$E$3:$BI$3, 0) + 4)),
      "A"
    )
  ),"")</f>
        <v>0.5</v>
      </c>
      <c r="U26" s="18">
        <f t="array" ref="U26">IFERROR(
  COUNTIFS(Attendance_data!$B$4:$B$1000,U$4,
    INDIRECT("Attendance_data!" &amp; ADDRESS(4, MATCH($B26, Attendance_data!$E$3:$BI$3, 0) + 4) &amp; ":" &amp;
             ADDRESS(1000, MATCH($B26, Attendance_data!$E$3:$BI$3, 0) + 4)),
    "P"
  )
  /
  (
    COUNTIFS(
      Attendance_data!$B$4:$B$1000,U$4,
      INDIRECT("Attendance_data!" &amp; ADDRESS(4, MATCH($B26, Attendance_data!$E$3:$BI$3, 0) + 4) &amp; ":" &amp;
               ADDRESS(1000, MATCH($B26, Attendance_data!$E$3:$BI$3, 0) + 4)),
      "P"
    )
    +
    COUNTIFS(
      Attendance_data!$B$4:$B$1000,U$4,
      INDIRECT("Attendance_data!" &amp; ADDRESS(4, MATCH($B26, Attendance_data!$E$3:$BI$3, 0) + 4) &amp; ":" &amp;
               ADDRESS(1000, MATCH($B26, Attendance_data!$E$3:$BI$3, 0) + 4)),
      "A"
    )
  ),"")</f>
        <v>0.68</v>
      </c>
      <c r="V26" s="18">
        <f t="array" ref="V26">IFERROR(
  COUNTIFS(Attendance_data!$B$4:$B$1000,V$4,
    INDIRECT("Attendance_data!" &amp; ADDRESS(4, MATCH($B26, Attendance_data!$E$3:$BI$3, 0) + 4) &amp; ":" &amp;
             ADDRESS(1000, MATCH($B26, Attendance_data!$E$3:$BI$3, 0) + 4)),
    "P"
  )
  /
  (
    COUNTIFS(
      Attendance_data!$B$4:$B$1000,V$4,
      INDIRECT("Attendance_data!" &amp; ADDRESS(4, MATCH($B26, Attendance_data!$E$3:$BI$3, 0) + 4) &amp; ":" &amp;
               ADDRESS(1000, MATCH($B26, Attendance_data!$E$3:$BI$3, 0) + 4)),
      "P"
    )
    +
    COUNTIFS(
      Attendance_data!$B$4:$B$1000,V$4,
      INDIRECT("Attendance_data!" &amp; ADDRESS(4, MATCH($B26, Attendance_data!$E$3:$BI$3, 0) + 4) &amp; ":" &amp;
               ADDRESS(1000, MATCH($B26, Attendance_data!$E$3:$BI$3, 0) + 4)),
      "A"
    )
  ),"")</f>
        <v>0.4</v>
      </c>
      <c r="W26" s="18">
        <f t="array" ref="W26">IFERROR(
  COUNTIFS(Attendance_data!$B$4:$B$1000,W$4,
    INDIRECT("Attendance_data!" &amp; ADDRESS(4, MATCH($B26, Attendance_data!$E$3:$BI$3, 0) + 4) &amp; ":" &amp;
             ADDRESS(1000, MATCH($B26, Attendance_data!$E$3:$BI$3, 0) + 4)),
    "P"
  )
  /
  (
    COUNTIFS(
      Attendance_data!$B$4:$B$1000,W$4,
      INDIRECT("Attendance_data!" &amp; ADDRESS(4, MATCH($B26, Attendance_data!$E$3:$BI$3, 0) + 4) &amp; ":" &amp;
               ADDRESS(1000, MATCH($B26, Attendance_data!$E$3:$BI$3, 0) + 4)),
      "P"
    )
    +
    COUNTIFS(
      Attendance_data!$B$4:$B$1000,W$4,
      INDIRECT("Attendance_data!" &amp; ADDRESS(4, MATCH($B26, Attendance_data!$E$3:$BI$3, 0) + 4) &amp; ":" &amp;
               ADDRESS(1000, MATCH($B26, Attendance_data!$E$3:$BI$3, 0) + 4)),
      "A"
    )
  ),"")</f>
        <v>0.48</v>
      </c>
      <c r="X26" s="18">
        <f t="array" ref="X26">IFERROR(
  COUNTIFS(Attendance_data!$B$4:$B$1000,X$4,
    INDIRECT("Attendance_data!" &amp; ADDRESS(4, MATCH($B26, Attendance_data!$E$3:$BI$3, 0) + 4) &amp; ":" &amp;
             ADDRESS(1000, MATCH($B26, Attendance_data!$E$3:$BI$3, 0) + 4)),
    "P"
  )
  /
  (
    COUNTIFS(
      Attendance_data!$B$4:$B$1000,X$4,
      INDIRECT("Attendance_data!" &amp; ADDRESS(4, MATCH($B26, Attendance_data!$E$3:$BI$3, 0) + 4) &amp; ":" &amp;
               ADDRESS(1000, MATCH($B26, Attendance_data!$E$3:$BI$3, 0) + 4)),
      "P"
    )
    +
    COUNTIFS(
      Attendance_data!$B$4:$B$1000,X$4,
      INDIRECT("Attendance_data!" &amp; ADDRESS(4, MATCH($B26, Attendance_data!$E$3:$BI$3, 0) + 4) &amp; ":" &amp;
               ADDRESS(1000, MATCH($B26, Attendance_data!$E$3:$BI$3, 0) + 4)),
      "A"
    )
  ),"")</f>
        <v>0.4761904762</v>
      </c>
      <c r="Y26" s="18">
        <f t="array" ref="Y26">IFERROR(
  COUNTIFS(Attendance_data!$B$4:$B$1000,Y$4,
    INDIRECT("Attendance_data!" &amp; ADDRESS(4, MATCH($B26, Attendance_data!$E$3:$BI$3, 0) + 4) &amp; ":" &amp;
             ADDRESS(1000, MATCH($B26, Attendance_data!$E$3:$BI$3, 0) + 4)),
    "P"
  )
  /
  (
    COUNTIFS(
      Attendance_data!$B$4:$B$1000,Y$4,
      INDIRECT("Attendance_data!" &amp; ADDRESS(4, MATCH($B26, Attendance_data!$E$3:$BI$3, 0) + 4) &amp; ":" &amp;
               ADDRESS(1000, MATCH($B26, Attendance_data!$E$3:$BI$3, 0) + 4)),
      "P"
    )
    +
    COUNTIFS(
      Attendance_data!$B$4:$B$1000,Y$4,
      INDIRECT("Attendance_data!" &amp; ADDRESS(4, MATCH($B26, Attendance_data!$E$3:$BI$3, 0) + 4) &amp; ":" &amp;
               ADDRESS(1000, MATCH($B26, Attendance_data!$E$3:$BI$3, 0) + 4)),
      "A"
    )
  ),"")</f>
        <v>0.7083333333</v>
      </c>
      <c r="Z26" s="18">
        <f t="array" ref="Z26">IFERROR(
  COUNTIFS(Attendance_data!$B$4:$B$1000,Z$4,
    INDIRECT("Attendance_data!" &amp; ADDRESS(4, MATCH($B26, Attendance_data!$E$3:$BI$3, 0) + 4) &amp; ":" &amp;
             ADDRESS(1000, MATCH($B26, Attendance_data!$E$3:$BI$3, 0) + 4)),
    "P"
  )
  /
  (
    COUNTIFS(
      Attendance_data!$B$4:$B$1000,Z$4,
      INDIRECT("Attendance_data!" &amp; ADDRESS(4, MATCH($B26, Attendance_data!$E$3:$BI$3, 0) + 4) &amp; ":" &amp;
               ADDRESS(1000, MATCH($B26, Attendance_data!$E$3:$BI$3, 0) + 4)),
      "P"
    )
    +
    COUNTIFS(
      Attendance_data!$B$4:$B$1000,Z$4,
      INDIRECT("Attendance_data!" &amp; ADDRESS(4, MATCH($B26, Attendance_data!$E$3:$BI$3, 0) + 4) &amp; ":" &amp;
               ADDRESS(1000, MATCH($B26, Attendance_data!$E$3:$BI$3, 0) + 4)),
      "A"
    )
  ),"")</f>
        <v>0.2222222222</v>
      </c>
      <c r="AA26" s="18" t="str">
        <f t="array" ref="AA26">IFERROR(
  COUNTIFS(Attendance_data!$B$4:$B$1000,AA$4,
    INDIRECT("Attendance_data!" &amp; ADDRESS(4, MATCH($B26, Attendance_data!$E$3:$BI$3, 0) + 4) &amp; ":" &amp;
             ADDRESS(1000, MATCH($B26, Attendance_data!$E$3:$BI$3, 0) + 4)),
    "P"
  )
  /
  (
    COUNTIFS(
      Attendance_data!$B$4:$B$1000,AA$4,
      INDIRECT("Attendance_data!" &amp; ADDRESS(4, MATCH($B26, Attendance_data!$E$3:$BI$3, 0) + 4) &amp; ":" &amp;
               ADDRESS(1000, MATCH($B26, Attendance_data!$E$3:$BI$3, 0) + 4)),
      "P"
    )
    +
    COUNTIFS(
      Attendance_data!$B$4:$B$1000,AA$4,
      INDIRECT("Attendance_data!" &amp; ADDRESS(4, MATCH($B26, Attendance_data!$E$3:$BI$3, 0) + 4) &amp; ":" &amp;
               ADDRESS(1000, MATCH($B26, Attendance_data!$E$3:$BI$3, 0) + 4)),
      "A"
    )
  ),"")</f>
        <v/>
      </c>
      <c r="AB26" s="19">
        <f t="shared" si="3"/>
        <v>0.5914064059</v>
      </c>
      <c r="AC26" s="1"/>
      <c r="AD26" s="1"/>
      <c r="AE26" s="1"/>
      <c r="AF26" s="1"/>
      <c r="AG26" s="1"/>
      <c r="AH26" s="1"/>
    </row>
    <row r="27">
      <c r="A27" s="14">
        <f t="shared" si="2"/>
        <v>23</v>
      </c>
      <c r="B27" s="21" t="s">
        <v>86</v>
      </c>
      <c r="C27" s="21" t="s">
        <v>87</v>
      </c>
      <c r="D27" s="21" t="s">
        <v>26</v>
      </c>
      <c r="E27" s="21" t="s">
        <v>21</v>
      </c>
      <c r="F27" s="21">
        <v>9.506650309E9</v>
      </c>
      <c r="G27" s="21" t="s">
        <v>27</v>
      </c>
      <c r="H27" s="21">
        <v>2025.0</v>
      </c>
      <c r="I27" s="16" t="s">
        <v>23</v>
      </c>
      <c r="J27" s="17">
        <v>30.0</v>
      </c>
      <c r="K27" s="17">
        <v>30.0</v>
      </c>
      <c r="L27" s="17">
        <v>30.0</v>
      </c>
      <c r="M27" s="17">
        <v>28.0</v>
      </c>
      <c r="N27" s="17">
        <v>30.0</v>
      </c>
      <c r="O27" s="17">
        <v>25.0</v>
      </c>
      <c r="P27" s="18" t="str">
        <f t="array" ref="P27">IFERROR(
  COUNTIFS(Attendance_data!$B$4:$B$1000,P$4,
    INDIRECT("Attendance_data!" &amp; ADDRESS(4, MATCH($B27, Attendance_data!$E$3:$BI$3, 0) + 4) &amp; ":" &amp;
             ADDRESS(1000, MATCH($B27, Attendance_data!$E$3:$BI$3, 0) + 4)),
    "P"
  )
  /
  (
    COUNTIFS(
      Attendance_data!$B$4:$B$1000,P$4,
      INDIRECT("Attendance_data!" &amp; ADDRESS(4, MATCH($B27, Attendance_data!$E$3:$BI$3, 0) + 4) &amp; ":" &amp;
               ADDRESS(1000, MATCH($B27, Attendance_data!$E$3:$BI$3, 0) + 4)),
      "P"
    )
    +
    COUNTIFS(
      Attendance_data!$B$4:$B$1000,P$4,
      INDIRECT("Attendance_data!" &amp; ADDRESS(4, MATCH($B27, Attendance_data!$E$3:$BI$3, 0) + 4) &amp; ":" &amp;
               ADDRESS(1000, MATCH($B27, Attendance_data!$E$3:$BI$3, 0) + 4)),
      "A"
    )
  ),"")</f>
        <v/>
      </c>
      <c r="Q27" s="18">
        <f t="array" ref="Q27">IFERROR(
  COUNTIFS(Attendance_data!$B$4:$B$1000,Q$4,
    INDIRECT("Attendance_data!" &amp; ADDRESS(4, MATCH($B27, Attendance_data!$E$3:$BI$3, 0) + 4) &amp; ":" &amp;
             ADDRESS(1000, MATCH($B27, Attendance_data!$E$3:$BI$3, 0) + 4)),
    "P"
  )
  /
  (
    COUNTIFS(
      Attendance_data!$B$4:$B$1000,Q$4,
      INDIRECT("Attendance_data!" &amp; ADDRESS(4, MATCH($B27, Attendance_data!$E$3:$BI$3, 0) + 4) &amp; ":" &amp;
               ADDRESS(1000, MATCH($B27, Attendance_data!$E$3:$BI$3, 0) + 4)),
      "P"
    )
    +
    COUNTIFS(
      Attendance_data!$B$4:$B$1000,Q$4,
      INDIRECT("Attendance_data!" &amp; ADDRESS(4, MATCH($B27, Attendance_data!$E$3:$BI$3, 0) + 4) &amp; ":" &amp;
               ADDRESS(1000, MATCH($B27, Attendance_data!$E$3:$BI$3, 0) + 4)),
      "A"
    )
  ),"")</f>
        <v>1</v>
      </c>
      <c r="R27" s="18">
        <f t="array" ref="R27">IFERROR(
  COUNTIFS(Attendance_data!$B$4:$B$1000,R$4,
    INDIRECT("Attendance_data!" &amp; ADDRESS(4, MATCH($B27, Attendance_data!$E$3:$BI$3, 0) + 4) &amp; ":" &amp;
             ADDRESS(1000, MATCH($B27, Attendance_data!$E$3:$BI$3, 0) + 4)),
    "P"
  )
  /
  (
    COUNTIFS(
      Attendance_data!$B$4:$B$1000,R$4,
      INDIRECT("Attendance_data!" &amp; ADDRESS(4, MATCH($B27, Attendance_data!$E$3:$BI$3, 0) + 4) &amp; ":" &amp;
               ADDRESS(1000, MATCH($B27, Attendance_data!$E$3:$BI$3, 0) + 4)),
      "P"
    )
    +
    COUNTIFS(
      Attendance_data!$B$4:$B$1000,R$4,
      INDIRECT("Attendance_data!" &amp; ADDRESS(4, MATCH($B27, Attendance_data!$E$3:$BI$3, 0) + 4) &amp; ":" &amp;
               ADDRESS(1000, MATCH($B27, Attendance_data!$E$3:$BI$3, 0) + 4)),
      "A"
    )
  ),"")</f>
        <v>1</v>
      </c>
      <c r="S27" s="18">
        <f t="array" ref="S27">IFERROR(
  COUNTIFS(Attendance_data!$B$4:$B$1000,S$4,
    INDIRECT("Attendance_data!" &amp; ADDRESS(4, MATCH($B27, Attendance_data!$E$3:$BI$3, 0) + 4) &amp; ":" &amp;
             ADDRESS(1000, MATCH($B27, Attendance_data!$E$3:$BI$3, 0) + 4)),
    "P"
  )
  /
  (
    COUNTIFS(
      Attendance_data!$B$4:$B$1000,S$4,
      INDIRECT("Attendance_data!" &amp; ADDRESS(4, MATCH($B27, Attendance_data!$E$3:$BI$3, 0) + 4) &amp; ":" &amp;
               ADDRESS(1000, MATCH($B27, Attendance_data!$E$3:$BI$3, 0) + 4)),
      "P"
    )
    +
    COUNTIFS(
      Attendance_data!$B$4:$B$1000,S$4,
      INDIRECT("Attendance_data!" &amp; ADDRESS(4, MATCH($B27, Attendance_data!$E$3:$BI$3, 0) + 4) &amp; ":" &amp;
               ADDRESS(1000, MATCH($B27, Attendance_data!$E$3:$BI$3, 0) + 4)),
      "A"
    )
  ),"")</f>
        <v>1</v>
      </c>
      <c r="T27" s="18">
        <f t="array" ref="T27">IFERROR(
  COUNTIFS(Attendance_data!$B$4:$B$1000,T$4,
    INDIRECT("Attendance_data!" &amp; ADDRESS(4, MATCH($B27, Attendance_data!$E$3:$BI$3, 0) + 4) &amp; ":" &amp;
             ADDRESS(1000, MATCH($B27, Attendance_data!$E$3:$BI$3, 0) + 4)),
    "P"
  )
  /
  (
    COUNTIFS(
      Attendance_data!$B$4:$B$1000,T$4,
      INDIRECT("Attendance_data!" &amp; ADDRESS(4, MATCH($B27, Attendance_data!$E$3:$BI$3, 0) + 4) &amp; ":" &amp;
               ADDRESS(1000, MATCH($B27, Attendance_data!$E$3:$BI$3, 0) + 4)),
      "P"
    )
    +
    COUNTIFS(
      Attendance_data!$B$4:$B$1000,T$4,
      INDIRECT("Attendance_data!" &amp; ADDRESS(4, MATCH($B27, Attendance_data!$E$3:$BI$3, 0) + 4) &amp; ":" &amp;
               ADDRESS(1000, MATCH($B27, Attendance_data!$E$3:$BI$3, 0) + 4)),
      "A"
    )
  ),"")</f>
        <v>0.85</v>
      </c>
      <c r="U27" s="18">
        <f t="array" ref="U27">IFERROR(
  COUNTIFS(Attendance_data!$B$4:$B$1000,U$4,
    INDIRECT("Attendance_data!" &amp; ADDRESS(4, MATCH($B27, Attendance_data!$E$3:$BI$3, 0) + 4) &amp; ":" &amp;
             ADDRESS(1000, MATCH($B27, Attendance_data!$E$3:$BI$3, 0) + 4)),
    "P"
  )
  /
  (
    COUNTIFS(
      Attendance_data!$B$4:$B$1000,U$4,
      INDIRECT("Attendance_data!" &amp; ADDRESS(4, MATCH($B27, Attendance_data!$E$3:$BI$3, 0) + 4) &amp; ":" &amp;
               ADDRESS(1000, MATCH($B27, Attendance_data!$E$3:$BI$3, 0) + 4)),
      "P"
    )
    +
    COUNTIFS(
      Attendance_data!$B$4:$B$1000,U$4,
      INDIRECT("Attendance_data!" &amp; ADDRESS(4, MATCH($B27, Attendance_data!$E$3:$BI$3, 0) + 4) &amp; ":" &amp;
               ADDRESS(1000, MATCH($B27, Attendance_data!$E$3:$BI$3, 0) + 4)),
      "A"
    )
  ),"")</f>
        <v>0.8</v>
      </c>
      <c r="V27" s="18">
        <f t="array" ref="V27">IFERROR(
  COUNTIFS(Attendance_data!$B$4:$B$1000,V$4,
    INDIRECT("Attendance_data!" &amp; ADDRESS(4, MATCH($B27, Attendance_data!$E$3:$BI$3, 0) + 4) &amp; ":" &amp;
             ADDRESS(1000, MATCH($B27, Attendance_data!$E$3:$BI$3, 0) + 4)),
    "P"
  )
  /
  (
    COUNTIFS(
      Attendance_data!$B$4:$B$1000,V$4,
      INDIRECT("Attendance_data!" &amp; ADDRESS(4, MATCH($B27, Attendance_data!$E$3:$BI$3, 0) + 4) &amp; ":" &amp;
               ADDRESS(1000, MATCH($B27, Attendance_data!$E$3:$BI$3, 0) + 4)),
      "P"
    )
    +
    COUNTIFS(
      Attendance_data!$B$4:$B$1000,V$4,
      INDIRECT("Attendance_data!" &amp; ADDRESS(4, MATCH($B27, Attendance_data!$E$3:$BI$3, 0) + 4) &amp; ":" &amp;
               ADDRESS(1000, MATCH($B27, Attendance_data!$E$3:$BI$3, 0) + 4)),
      "A"
    )
  ),"")</f>
        <v>0.76</v>
      </c>
      <c r="W27" s="18">
        <f t="array" ref="W27">IFERROR(
  COUNTIFS(Attendance_data!$B$4:$B$1000,W$4,
    INDIRECT("Attendance_data!" &amp; ADDRESS(4, MATCH($B27, Attendance_data!$E$3:$BI$3, 0) + 4) &amp; ":" &amp;
             ADDRESS(1000, MATCH($B27, Attendance_data!$E$3:$BI$3, 0) + 4)),
    "P"
  )
  /
  (
    COUNTIFS(
      Attendance_data!$B$4:$B$1000,W$4,
      INDIRECT("Attendance_data!" &amp; ADDRESS(4, MATCH($B27, Attendance_data!$E$3:$BI$3, 0) + 4) &amp; ":" &amp;
               ADDRESS(1000, MATCH($B27, Attendance_data!$E$3:$BI$3, 0) + 4)),
      "P"
    )
    +
    COUNTIFS(
      Attendance_data!$B$4:$B$1000,W$4,
      INDIRECT("Attendance_data!" &amp; ADDRESS(4, MATCH($B27, Attendance_data!$E$3:$BI$3, 0) + 4) &amp; ":" &amp;
               ADDRESS(1000, MATCH($B27, Attendance_data!$E$3:$BI$3, 0) + 4)),
      "A"
    )
  ),"")</f>
        <v>0.72</v>
      </c>
      <c r="X27" s="18">
        <f t="array" ref="X27">IFERROR(
  COUNTIFS(Attendance_data!$B$4:$B$1000,X$4,
    INDIRECT("Attendance_data!" &amp; ADDRESS(4, MATCH($B27, Attendance_data!$E$3:$BI$3, 0) + 4) &amp; ":" &amp;
             ADDRESS(1000, MATCH($B27, Attendance_data!$E$3:$BI$3, 0) + 4)),
    "P"
  )
  /
  (
    COUNTIFS(
      Attendance_data!$B$4:$B$1000,X$4,
      INDIRECT("Attendance_data!" &amp; ADDRESS(4, MATCH($B27, Attendance_data!$E$3:$BI$3, 0) + 4) &amp; ":" &amp;
               ADDRESS(1000, MATCH($B27, Attendance_data!$E$3:$BI$3, 0) + 4)),
      "P"
    )
    +
    COUNTIFS(
      Attendance_data!$B$4:$B$1000,X$4,
      INDIRECT("Attendance_data!" &amp; ADDRESS(4, MATCH($B27, Attendance_data!$E$3:$BI$3, 0) + 4) &amp; ":" &amp;
               ADDRESS(1000, MATCH($B27, Attendance_data!$E$3:$BI$3, 0) + 4)),
      "A"
    )
  ),"")</f>
        <v>0.5238095238</v>
      </c>
      <c r="Y27" s="18">
        <f t="array" ref="Y27">IFERROR(
  COUNTIFS(Attendance_data!$B$4:$B$1000,Y$4,
    INDIRECT("Attendance_data!" &amp; ADDRESS(4, MATCH($B27, Attendance_data!$E$3:$BI$3, 0) + 4) &amp; ":" &amp;
             ADDRESS(1000, MATCH($B27, Attendance_data!$E$3:$BI$3, 0) + 4)),
    "P"
  )
  /
  (
    COUNTIFS(
      Attendance_data!$B$4:$B$1000,Y$4,
      INDIRECT("Attendance_data!" &amp; ADDRESS(4, MATCH($B27, Attendance_data!$E$3:$BI$3, 0) + 4) &amp; ":" &amp;
               ADDRESS(1000, MATCH($B27, Attendance_data!$E$3:$BI$3, 0) + 4)),
      "P"
    )
    +
    COUNTIFS(
      Attendance_data!$B$4:$B$1000,Y$4,
      INDIRECT("Attendance_data!" &amp; ADDRESS(4, MATCH($B27, Attendance_data!$E$3:$BI$3, 0) + 4) &amp; ":" &amp;
               ADDRESS(1000, MATCH($B27, Attendance_data!$E$3:$BI$3, 0) + 4)),
      "A"
    )
  ),"")</f>
        <v>0.875</v>
      </c>
      <c r="Z27" s="18">
        <f t="array" ref="Z27">IFERROR(
  COUNTIFS(Attendance_data!$B$4:$B$1000,Z$4,
    INDIRECT("Attendance_data!" &amp; ADDRESS(4, MATCH($B27, Attendance_data!$E$3:$BI$3, 0) + 4) &amp; ":" &amp;
             ADDRESS(1000, MATCH($B27, Attendance_data!$E$3:$BI$3, 0) + 4)),
    "P"
  )
  /
  (
    COUNTIFS(
      Attendance_data!$B$4:$B$1000,Z$4,
      INDIRECT("Attendance_data!" &amp; ADDRESS(4, MATCH($B27, Attendance_data!$E$3:$BI$3, 0) + 4) &amp; ":" &amp;
               ADDRESS(1000, MATCH($B27, Attendance_data!$E$3:$BI$3, 0) + 4)),
      "P"
    )
    +
    COUNTIFS(
      Attendance_data!$B$4:$B$1000,Z$4,
      INDIRECT("Attendance_data!" &amp; ADDRESS(4, MATCH($B27, Attendance_data!$E$3:$BI$3, 0) + 4) &amp; ":" &amp;
               ADDRESS(1000, MATCH($B27, Attendance_data!$E$3:$BI$3, 0) + 4)),
      "A"
    )
  ),"")</f>
        <v>1</v>
      </c>
      <c r="AA27" s="18" t="str">
        <f t="array" ref="AA27">IFERROR(
  COUNTIFS(Attendance_data!$B$4:$B$1000,AA$4,
    INDIRECT("Attendance_data!" &amp; ADDRESS(4, MATCH($B27, Attendance_data!$E$3:$BI$3, 0) + 4) &amp; ":" &amp;
             ADDRESS(1000, MATCH($B27, Attendance_data!$E$3:$BI$3, 0) + 4)),
    "P"
  )
  /
  (
    COUNTIFS(
      Attendance_data!$B$4:$B$1000,AA$4,
      INDIRECT("Attendance_data!" &amp; ADDRESS(4, MATCH($B27, Attendance_data!$E$3:$BI$3, 0) + 4) &amp; ":" &amp;
               ADDRESS(1000, MATCH($B27, Attendance_data!$E$3:$BI$3, 0) + 4)),
      "P"
    )
    +
    COUNTIFS(
      Attendance_data!$B$4:$B$1000,AA$4,
      INDIRECT("Attendance_data!" &amp; ADDRESS(4, MATCH($B27, Attendance_data!$E$3:$BI$3, 0) + 4) &amp; ":" &amp;
               ADDRESS(1000, MATCH($B27, Attendance_data!$E$3:$BI$3, 0) + 4)),
      "A"
    )
  ),"")</f>
        <v/>
      </c>
      <c r="AB27" s="19">
        <f t="shared" si="3"/>
        <v>0.8528809524</v>
      </c>
      <c r="AC27" s="1"/>
      <c r="AD27" s="1"/>
      <c r="AE27" s="1"/>
      <c r="AF27" s="1"/>
      <c r="AG27" s="1"/>
      <c r="AH27" s="1"/>
    </row>
    <row r="28">
      <c r="A28" s="14">
        <f t="shared" si="2"/>
        <v>24</v>
      </c>
      <c r="B28" s="21" t="s">
        <v>88</v>
      </c>
      <c r="C28" s="21" t="s">
        <v>89</v>
      </c>
      <c r="D28" s="21" t="s">
        <v>26</v>
      </c>
      <c r="E28" s="21" t="s">
        <v>21</v>
      </c>
      <c r="F28" s="21">
        <v>7.781840523E9</v>
      </c>
      <c r="G28" s="21" t="s">
        <v>90</v>
      </c>
      <c r="H28" s="21">
        <v>2025.0</v>
      </c>
      <c r="I28" s="16" t="s">
        <v>91</v>
      </c>
      <c r="J28" s="17">
        <v>23.0</v>
      </c>
      <c r="K28" s="17">
        <v>30.0</v>
      </c>
      <c r="L28" s="17" t="s">
        <v>92</v>
      </c>
      <c r="M28" s="17" t="s">
        <v>92</v>
      </c>
      <c r="N28" s="17" t="s">
        <v>92</v>
      </c>
      <c r="O28" s="17" t="s">
        <v>92</v>
      </c>
      <c r="P28" s="18" t="str">
        <f t="array" ref="P28">IFERROR(
  COUNTIFS(Attendance_data!$B$4:$B$1000,P$4,
    INDIRECT("Attendance_data!" &amp; ADDRESS(4, MATCH($B28, Attendance_data!$E$3:$BI$3, 0) + 4) &amp; ":" &amp;
             ADDRESS(1000, MATCH($B28, Attendance_data!$E$3:$BI$3, 0) + 4)),
    "P"
  )
  /
  (
    COUNTIFS(
      Attendance_data!$B$4:$B$1000,P$4,
      INDIRECT("Attendance_data!" &amp; ADDRESS(4, MATCH($B28, Attendance_data!$E$3:$BI$3, 0) + 4) &amp; ":" &amp;
               ADDRESS(1000, MATCH($B28, Attendance_data!$E$3:$BI$3, 0) + 4)),
      "P"
    )
    +
    COUNTIFS(
      Attendance_data!$B$4:$B$1000,P$4,
      INDIRECT("Attendance_data!" &amp; ADDRESS(4, MATCH($B28, Attendance_data!$E$3:$BI$3, 0) + 4) &amp; ":" &amp;
               ADDRESS(1000, MATCH($B28, Attendance_data!$E$3:$BI$3, 0) + 4)),
      "A"
    )
  ),"")</f>
        <v/>
      </c>
      <c r="Q28" s="18" t="str">
        <f t="array" ref="Q28">IFERROR(
  COUNTIFS(Attendance_data!$B$4:$B$1000,Q$4,
    INDIRECT("Attendance_data!" &amp; ADDRESS(4, MATCH($B28, Attendance_data!$E$3:$BI$3, 0) + 4) &amp; ":" &amp;
             ADDRESS(1000, MATCH($B28, Attendance_data!$E$3:$BI$3, 0) + 4)),
    "P"
  )
  /
  (
    COUNTIFS(
      Attendance_data!$B$4:$B$1000,Q$4,
      INDIRECT("Attendance_data!" &amp; ADDRESS(4, MATCH($B28, Attendance_data!$E$3:$BI$3, 0) + 4) &amp; ":" &amp;
               ADDRESS(1000, MATCH($B28, Attendance_data!$E$3:$BI$3, 0) + 4)),
      "P"
    )
    +
    COUNTIFS(
      Attendance_data!$B$4:$B$1000,Q$4,
      INDIRECT("Attendance_data!" &amp; ADDRESS(4, MATCH($B28, Attendance_data!$E$3:$BI$3, 0) + 4) &amp; ":" &amp;
               ADDRESS(1000, MATCH($B28, Attendance_data!$E$3:$BI$3, 0) + 4)),
      "A"
    )
  ),"")</f>
        <v/>
      </c>
      <c r="R28" s="18">
        <f t="array" ref="R28">IFERROR(
  COUNTIFS(Attendance_data!$B$4:$B$1000,R$4,
    INDIRECT("Attendance_data!" &amp; ADDRESS(4, MATCH($B28, Attendance_data!$E$3:$BI$3, 0) + 4) &amp; ":" &amp;
             ADDRESS(1000, MATCH($B28, Attendance_data!$E$3:$BI$3, 0) + 4)),
    "P"
  )
  /
  (
    COUNTIFS(
      Attendance_data!$B$4:$B$1000,R$4,
      INDIRECT("Attendance_data!" &amp; ADDRESS(4, MATCH($B28, Attendance_data!$E$3:$BI$3, 0) + 4) &amp; ":" &amp;
               ADDRESS(1000, MATCH($B28, Attendance_data!$E$3:$BI$3, 0) + 4)),
      "P"
    )
    +
    COUNTIFS(
      Attendance_data!$B$4:$B$1000,R$4,
      INDIRECT("Attendance_data!" &amp; ADDRESS(4, MATCH($B28, Attendance_data!$E$3:$BI$3, 0) + 4) &amp; ":" &amp;
               ADDRESS(1000, MATCH($B28, Attendance_data!$E$3:$BI$3, 0) + 4)),
      "A"
    )
  ),"")</f>
        <v>1</v>
      </c>
      <c r="S28" s="18">
        <f t="array" ref="S28">IFERROR(
  COUNTIFS(Attendance_data!$B$4:$B$1000,S$4,
    INDIRECT("Attendance_data!" &amp; ADDRESS(4, MATCH($B28, Attendance_data!$E$3:$BI$3, 0) + 4) &amp; ":" &amp;
             ADDRESS(1000, MATCH($B28, Attendance_data!$E$3:$BI$3, 0) + 4)),
    "P"
  )
  /
  (
    COUNTIFS(
      Attendance_data!$B$4:$B$1000,S$4,
      INDIRECT("Attendance_data!" &amp; ADDRESS(4, MATCH($B28, Attendance_data!$E$3:$BI$3, 0) + 4) &amp; ":" &amp;
               ADDRESS(1000, MATCH($B28, Attendance_data!$E$3:$BI$3, 0) + 4)),
      "P"
    )
    +
    COUNTIFS(
      Attendance_data!$B$4:$B$1000,S$4,
      INDIRECT("Attendance_data!" &amp; ADDRESS(4, MATCH($B28, Attendance_data!$E$3:$BI$3, 0) + 4) &amp; ":" &amp;
               ADDRESS(1000, MATCH($B28, Attendance_data!$E$3:$BI$3, 0) + 4)),
      "A"
    )
  ),"")</f>
        <v>0.5</v>
      </c>
      <c r="T28" s="18">
        <f t="array" ref="T28">IFERROR(
  COUNTIFS(Attendance_data!$B$4:$B$1000,T$4,
    INDIRECT("Attendance_data!" &amp; ADDRESS(4, MATCH($B28, Attendance_data!$E$3:$BI$3, 0) + 4) &amp; ":" &amp;
             ADDRESS(1000, MATCH($B28, Attendance_data!$E$3:$BI$3, 0) + 4)),
    "P"
  )
  /
  (
    COUNTIFS(
      Attendance_data!$B$4:$B$1000,T$4,
      INDIRECT("Attendance_data!" &amp; ADDRESS(4, MATCH($B28, Attendance_data!$E$3:$BI$3, 0) + 4) &amp; ":" &amp;
               ADDRESS(1000, MATCH($B28, Attendance_data!$E$3:$BI$3, 0) + 4)),
      "P"
    )
    +
    COUNTIFS(
      Attendance_data!$B$4:$B$1000,T$4,
      INDIRECT("Attendance_data!" &amp; ADDRESS(4, MATCH($B28, Attendance_data!$E$3:$BI$3, 0) + 4) &amp; ":" &amp;
               ADDRESS(1000, MATCH($B28, Attendance_data!$E$3:$BI$3, 0) + 4)),
      "A"
    )
  ),"")</f>
        <v>0</v>
      </c>
      <c r="U28" s="18" t="str">
        <f t="array" ref="U28">IFERROR(
  COUNTIFS(Attendance_data!$B$4:$B$1000,U$4,
    INDIRECT("Attendance_data!" &amp; ADDRESS(4, MATCH($B28, Attendance_data!$E$3:$BI$3, 0) + 4) &amp; ":" &amp;
             ADDRESS(1000, MATCH($B28, Attendance_data!$E$3:$BI$3, 0) + 4)),
    "P"
  )
  /
  (
    COUNTIFS(
      Attendance_data!$B$4:$B$1000,U$4,
      INDIRECT("Attendance_data!" &amp; ADDRESS(4, MATCH($B28, Attendance_data!$E$3:$BI$3, 0) + 4) &amp; ":" &amp;
               ADDRESS(1000, MATCH($B28, Attendance_data!$E$3:$BI$3, 0) + 4)),
      "P"
    )
    +
    COUNTIFS(
      Attendance_data!$B$4:$B$1000,U$4,
      INDIRECT("Attendance_data!" &amp; ADDRESS(4, MATCH($B28, Attendance_data!$E$3:$BI$3, 0) + 4) &amp; ":" &amp;
               ADDRESS(1000, MATCH($B28, Attendance_data!$E$3:$BI$3, 0) + 4)),
      "A"
    )
  ),"")</f>
        <v/>
      </c>
      <c r="V28" s="18" t="str">
        <f t="array" ref="V28">IFERROR(
  COUNTIFS(Attendance_data!$B$4:$B$1000,V$4,
    INDIRECT("Attendance_data!" &amp; ADDRESS(4, MATCH($B28, Attendance_data!$E$3:$BI$3, 0) + 4) &amp; ":" &amp;
             ADDRESS(1000, MATCH($B28, Attendance_data!$E$3:$BI$3, 0) + 4)),
    "P"
  )
  /
  (
    COUNTIFS(
      Attendance_data!$B$4:$B$1000,V$4,
      INDIRECT("Attendance_data!" &amp; ADDRESS(4, MATCH($B28, Attendance_data!$E$3:$BI$3, 0) + 4) &amp; ":" &amp;
               ADDRESS(1000, MATCH($B28, Attendance_data!$E$3:$BI$3, 0) + 4)),
      "P"
    )
    +
    COUNTIFS(
      Attendance_data!$B$4:$B$1000,V$4,
      INDIRECT("Attendance_data!" &amp; ADDRESS(4, MATCH($B28, Attendance_data!$E$3:$BI$3, 0) + 4) &amp; ":" &amp;
               ADDRESS(1000, MATCH($B28, Attendance_data!$E$3:$BI$3, 0) + 4)),
      "A"
    )
  ),"")</f>
        <v/>
      </c>
      <c r="W28" s="18" t="str">
        <f t="array" ref="W28">IFERROR(
  COUNTIFS(Attendance_data!$B$4:$B$1000,W$4,
    INDIRECT("Attendance_data!" &amp; ADDRESS(4, MATCH($B28, Attendance_data!$E$3:$BI$3, 0) + 4) &amp; ":" &amp;
             ADDRESS(1000, MATCH($B28, Attendance_data!$E$3:$BI$3, 0) + 4)),
    "P"
  )
  /
  (
    COUNTIFS(
      Attendance_data!$B$4:$B$1000,W$4,
      INDIRECT("Attendance_data!" &amp; ADDRESS(4, MATCH($B28, Attendance_data!$E$3:$BI$3, 0) + 4) &amp; ":" &amp;
               ADDRESS(1000, MATCH($B28, Attendance_data!$E$3:$BI$3, 0) + 4)),
      "P"
    )
    +
    COUNTIFS(
      Attendance_data!$B$4:$B$1000,W$4,
      INDIRECT("Attendance_data!" &amp; ADDRESS(4, MATCH($B28, Attendance_data!$E$3:$BI$3, 0) + 4) &amp; ":" &amp;
               ADDRESS(1000, MATCH($B28, Attendance_data!$E$3:$BI$3, 0) + 4)),
      "A"
    )
  ),"")</f>
        <v/>
      </c>
      <c r="X28" s="18" t="str">
        <f t="array" ref="X28">IFERROR(
  COUNTIFS(Attendance_data!$B$4:$B$1000,X$4,
    INDIRECT("Attendance_data!" &amp; ADDRESS(4, MATCH($B28, Attendance_data!$E$3:$BI$3, 0) + 4) &amp; ":" &amp;
             ADDRESS(1000, MATCH($B28, Attendance_data!$E$3:$BI$3, 0) + 4)),
    "P"
  )
  /
  (
    COUNTIFS(
      Attendance_data!$B$4:$B$1000,X$4,
      INDIRECT("Attendance_data!" &amp; ADDRESS(4, MATCH($B28, Attendance_data!$E$3:$BI$3, 0) + 4) &amp; ":" &amp;
               ADDRESS(1000, MATCH($B28, Attendance_data!$E$3:$BI$3, 0) + 4)),
      "P"
    )
    +
    COUNTIFS(
      Attendance_data!$B$4:$B$1000,X$4,
      INDIRECT("Attendance_data!" &amp; ADDRESS(4, MATCH($B28, Attendance_data!$E$3:$BI$3, 0) + 4) &amp; ":" &amp;
               ADDRESS(1000, MATCH($B28, Attendance_data!$E$3:$BI$3, 0) + 4)),
      "A"
    )
  ),"")</f>
        <v/>
      </c>
      <c r="Y28" s="18" t="str">
        <f t="array" ref="Y28">IFERROR(
  COUNTIFS(Attendance_data!$B$4:$B$1000,Y$4,
    INDIRECT("Attendance_data!" &amp; ADDRESS(4, MATCH($B28, Attendance_data!$E$3:$BI$3, 0) + 4) &amp; ":" &amp;
             ADDRESS(1000, MATCH($B28, Attendance_data!$E$3:$BI$3, 0) + 4)),
    "P"
  )
  /
  (
    COUNTIFS(
      Attendance_data!$B$4:$B$1000,Y$4,
      INDIRECT("Attendance_data!" &amp; ADDRESS(4, MATCH($B28, Attendance_data!$E$3:$BI$3, 0) + 4) &amp; ":" &amp;
               ADDRESS(1000, MATCH($B28, Attendance_data!$E$3:$BI$3, 0) + 4)),
      "P"
    )
    +
    COUNTIFS(
      Attendance_data!$B$4:$B$1000,Y$4,
      INDIRECT("Attendance_data!" &amp; ADDRESS(4, MATCH($B28, Attendance_data!$E$3:$BI$3, 0) + 4) &amp; ":" &amp;
               ADDRESS(1000, MATCH($B28, Attendance_data!$E$3:$BI$3, 0) + 4)),
      "A"
    )
  ),"")</f>
        <v/>
      </c>
      <c r="Z28" s="18" t="str">
        <f t="array" ref="Z28">IFERROR(
  COUNTIFS(Attendance_data!$B$4:$B$1000,Z$4,
    INDIRECT("Attendance_data!" &amp; ADDRESS(4, MATCH($B28, Attendance_data!$E$3:$BI$3, 0) + 4) &amp; ":" &amp;
             ADDRESS(1000, MATCH($B28, Attendance_data!$E$3:$BI$3, 0) + 4)),
    "P"
  )
  /
  (
    COUNTIFS(
      Attendance_data!$B$4:$B$1000,Z$4,
      INDIRECT("Attendance_data!" &amp; ADDRESS(4, MATCH($B28, Attendance_data!$E$3:$BI$3, 0) + 4) &amp; ":" &amp;
               ADDRESS(1000, MATCH($B28, Attendance_data!$E$3:$BI$3, 0) + 4)),
      "P"
    )
    +
    COUNTIFS(
      Attendance_data!$B$4:$B$1000,Z$4,
      INDIRECT("Attendance_data!" &amp; ADDRESS(4, MATCH($B28, Attendance_data!$E$3:$BI$3, 0) + 4) &amp; ":" &amp;
               ADDRESS(1000, MATCH($B28, Attendance_data!$E$3:$BI$3, 0) + 4)),
      "A"
    )
  ),"")</f>
        <v/>
      </c>
      <c r="AA28" s="18" t="str">
        <f t="array" ref="AA28">IFERROR(
  COUNTIFS(Attendance_data!$B$4:$B$1000,AA$4,
    INDIRECT("Attendance_data!" &amp; ADDRESS(4, MATCH($B28, Attendance_data!$E$3:$BI$3, 0) + 4) &amp; ":" &amp;
             ADDRESS(1000, MATCH($B28, Attendance_data!$E$3:$BI$3, 0) + 4)),
    "P"
  )
  /
  (
    COUNTIFS(
      Attendance_data!$B$4:$B$1000,AA$4,
      INDIRECT("Attendance_data!" &amp; ADDRESS(4, MATCH($B28, Attendance_data!$E$3:$BI$3, 0) + 4) &amp; ":" &amp;
               ADDRESS(1000, MATCH($B28, Attendance_data!$E$3:$BI$3, 0) + 4)),
      "P"
    )
    +
    COUNTIFS(
      Attendance_data!$B$4:$B$1000,AA$4,
      INDIRECT("Attendance_data!" &amp; ADDRESS(4, MATCH($B28, Attendance_data!$E$3:$BI$3, 0) + 4) &amp; ":" &amp;
               ADDRESS(1000, MATCH($B28, Attendance_data!$E$3:$BI$3, 0) + 4)),
      "A"
    )
  ),"")</f>
        <v/>
      </c>
      <c r="AB28" s="19">
        <f t="shared" si="3"/>
        <v>0.75</v>
      </c>
      <c r="AC28" s="1"/>
      <c r="AD28" s="1"/>
      <c r="AE28" s="1"/>
      <c r="AF28" s="1"/>
      <c r="AG28" s="1"/>
      <c r="AH28" s="1"/>
    </row>
    <row r="29">
      <c r="A29" s="14">
        <f t="shared" si="2"/>
        <v>25</v>
      </c>
      <c r="B29" s="21" t="s">
        <v>93</v>
      </c>
      <c r="C29" s="21" t="s">
        <v>94</v>
      </c>
      <c r="D29" s="21" t="s">
        <v>30</v>
      </c>
      <c r="E29" s="21" t="s">
        <v>21</v>
      </c>
      <c r="F29" s="21">
        <v>9.987974116E9</v>
      </c>
      <c r="G29" s="21" t="s">
        <v>31</v>
      </c>
      <c r="H29" s="21">
        <v>2025.0</v>
      </c>
      <c r="I29" s="16" t="s">
        <v>23</v>
      </c>
      <c r="J29" s="17">
        <v>24.0</v>
      </c>
      <c r="K29" s="17">
        <v>29.0</v>
      </c>
      <c r="L29" s="17">
        <v>29.0</v>
      </c>
      <c r="M29" s="17">
        <v>27.0</v>
      </c>
      <c r="N29" s="17">
        <v>29.0</v>
      </c>
      <c r="O29" s="17" t="s">
        <v>32</v>
      </c>
      <c r="P29" s="18" t="str">
        <f t="array" ref="P29">IFERROR(
  COUNTIFS(Attendance_data!$B$4:$B$1000,P$4,
    INDIRECT("Attendance_data!" &amp; ADDRESS(4, MATCH($B29, Attendance_data!$E$3:$BI$3, 0) + 4) &amp; ":" &amp;
             ADDRESS(1000, MATCH($B29, Attendance_data!$E$3:$BI$3, 0) + 4)),
    "P"
  )
  /
  (
    COUNTIFS(
      Attendance_data!$B$4:$B$1000,P$4,
      INDIRECT("Attendance_data!" &amp; ADDRESS(4, MATCH($B29, Attendance_data!$E$3:$BI$3, 0) + 4) &amp; ":" &amp;
               ADDRESS(1000, MATCH($B29, Attendance_data!$E$3:$BI$3, 0) + 4)),
      "P"
    )
    +
    COUNTIFS(
      Attendance_data!$B$4:$B$1000,P$4,
      INDIRECT("Attendance_data!" &amp; ADDRESS(4, MATCH($B29, Attendance_data!$E$3:$BI$3, 0) + 4) &amp; ":" &amp;
               ADDRESS(1000, MATCH($B29, Attendance_data!$E$3:$BI$3, 0) + 4)),
      "A"
    )
  ),"")</f>
        <v/>
      </c>
      <c r="Q29" s="18">
        <f t="array" ref="Q29">IFERROR(
  COUNTIFS(Attendance_data!$B$4:$B$1000,Q$4,
    INDIRECT("Attendance_data!" &amp; ADDRESS(4, MATCH($B29, Attendance_data!$E$3:$BI$3, 0) + 4) &amp; ":" &amp;
             ADDRESS(1000, MATCH($B29, Attendance_data!$E$3:$BI$3, 0) + 4)),
    "P"
  )
  /
  (
    COUNTIFS(
      Attendance_data!$B$4:$B$1000,Q$4,
      INDIRECT("Attendance_data!" &amp; ADDRESS(4, MATCH($B29, Attendance_data!$E$3:$BI$3, 0) + 4) &amp; ":" &amp;
               ADDRESS(1000, MATCH($B29, Attendance_data!$E$3:$BI$3, 0) + 4)),
      "P"
    )
    +
    COUNTIFS(
      Attendance_data!$B$4:$B$1000,Q$4,
      INDIRECT("Attendance_data!" &amp; ADDRESS(4, MATCH($B29, Attendance_data!$E$3:$BI$3, 0) + 4) &amp; ":" &amp;
               ADDRESS(1000, MATCH($B29, Attendance_data!$E$3:$BI$3, 0) + 4)),
      "A"
    )
  ),"")</f>
        <v>0.44</v>
      </c>
      <c r="R29" s="18">
        <f t="array" ref="R29">IFERROR(
  COUNTIFS(Attendance_data!$B$4:$B$1000,R$4,
    INDIRECT("Attendance_data!" &amp; ADDRESS(4, MATCH($B29, Attendance_data!$E$3:$BI$3, 0) + 4) &amp; ":" &amp;
             ADDRESS(1000, MATCH($B29, Attendance_data!$E$3:$BI$3, 0) + 4)),
    "P"
  )
  /
  (
    COUNTIFS(
      Attendance_data!$B$4:$B$1000,R$4,
      INDIRECT("Attendance_data!" &amp; ADDRESS(4, MATCH($B29, Attendance_data!$E$3:$BI$3, 0) + 4) &amp; ":" &amp;
               ADDRESS(1000, MATCH($B29, Attendance_data!$E$3:$BI$3, 0) + 4)),
      "P"
    )
    +
    COUNTIFS(
      Attendance_data!$B$4:$B$1000,R$4,
      INDIRECT("Attendance_data!" &amp; ADDRESS(4, MATCH($B29, Attendance_data!$E$3:$BI$3, 0) + 4) &amp; ":" &amp;
               ADDRESS(1000, MATCH($B29, Attendance_data!$E$3:$BI$3, 0) + 4)),
      "A"
    )
  ),"")</f>
        <v>0.3684210526</v>
      </c>
      <c r="S29" s="18">
        <f t="array" ref="S29">IFERROR(
  COUNTIFS(Attendance_data!$B$4:$B$1000,S$4,
    INDIRECT("Attendance_data!" &amp; ADDRESS(4, MATCH($B29, Attendance_data!$E$3:$BI$3, 0) + 4) &amp; ":" &amp;
             ADDRESS(1000, MATCH($B29, Attendance_data!$E$3:$BI$3, 0) + 4)),
    "P"
  )
  /
  (
    COUNTIFS(
      Attendance_data!$B$4:$B$1000,S$4,
      INDIRECT("Attendance_data!" &amp; ADDRESS(4, MATCH($B29, Attendance_data!$E$3:$BI$3, 0) + 4) &amp; ":" &amp;
               ADDRESS(1000, MATCH($B29, Attendance_data!$E$3:$BI$3, 0) + 4)),
      "P"
    )
    +
    COUNTIFS(
      Attendance_data!$B$4:$B$1000,S$4,
      INDIRECT("Attendance_data!" &amp; ADDRESS(4, MATCH($B29, Attendance_data!$E$3:$BI$3, 0) + 4) &amp; ":" &amp;
               ADDRESS(1000, MATCH($B29, Attendance_data!$E$3:$BI$3, 0) + 4)),
      "A"
    )
  ),"")</f>
        <v>0.2272727273</v>
      </c>
      <c r="T29" s="18">
        <f t="array" ref="T29">IFERROR(
  COUNTIFS(Attendance_data!$B$4:$B$1000,T$4,
    INDIRECT("Attendance_data!" &amp; ADDRESS(4, MATCH($B29, Attendance_data!$E$3:$BI$3, 0) + 4) &amp; ":" &amp;
             ADDRESS(1000, MATCH($B29, Attendance_data!$E$3:$BI$3, 0) + 4)),
    "P"
  )
  /
  (
    COUNTIFS(
      Attendance_data!$B$4:$B$1000,T$4,
      INDIRECT("Attendance_data!" &amp; ADDRESS(4, MATCH($B29, Attendance_data!$E$3:$BI$3, 0) + 4) &amp; ":" &amp;
               ADDRESS(1000, MATCH($B29, Attendance_data!$E$3:$BI$3, 0) + 4)),
      "P"
    )
    +
    COUNTIFS(
      Attendance_data!$B$4:$B$1000,T$4,
      INDIRECT("Attendance_data!" &amp; ADDRESS(4, MATCH($B29, Attendance_data!$E$3:$BI$3, 0) + 4) &amp; ":" &amp;
               ADDRESS(1000, MATCH($B29, Attendance_data!$E$3:$BI$3, 0) + 4)),
      "A"
    )
  ),"")</f>
        <v>0.55</v>
      </c>
      <c r="U29" s="18">
        <f t="array" ref="U29">IFERROR(
  COUNTIFS(Attendance_data!$B$4:$B$1000,U$4,
    INDIRECT("Attendance_data!" &amp; ADDRESS(4, MATCH($B29, Attendance_data!$E$3:$BI$3, 0) + 4) &amp; ":" &amp;
             ADDRESS(1000, MATCH($B29, Attendance_data!$E$3:$BI$3, 0) + 4)),
    "P"
  )
  /
  (
    COUNTIFS(
      Attendance_data!$B$4:$B$1000,U$4,
      INDIRECT("Attendance_data!" &amp; ADDRESS(4, MATCH($B29, Attendance_data!$E$3:$BI$3, 0) + 4) &amp; ":" &amp;
               ADDRESS(1000, MATCH($B29, Attendance_data!$E$3:$BI$3, 0) + 4)),
      "P"
    )
    +
    COUNTIFS(
      Attendance_data!$B$4:$B$1000,U$4,
      INDIRECT("Attendance_data!" &amp; ADDRESS(4, MATCH($B29, Attendance_data!$E$3:$BI$3, 0) + 4) &amp; ":" &amp;
               ADDRESS(1000, MATCH($B29, Attendance_data!$E$3:$BI$3, 0) + 4)),
      "A"
    )
  ),"")</f>
        <v>0.48</v>
      </c>
      <c r="V29" s="18">
        <f t="array" ref="V29">IFERROR(
  COUNTIFS(Attendance_data!$B$4:$B$1000,V$4,
    INDIRECT("Attendance_data!" &amp; ADDRESS(4, MATCH($B29, Attendance_data!$E$3:$BI$3, 0) + 4) &amp; ":" &amp;
             ADDRESS(1000, MATCH($B29, Attendance_data!$E$3:$BI$3, 0) + 4)),
    "P"
  )
  /
  (
    COUNTIFS(
      Attendance_data!$B$4:$B$1000,V$4,
      INDIRECT("Attendance_data!" &amp; ADDRESS(4, MATCH($B29, Attendance_data!$E$3:$BI$3, 0) + 4) &amp; ":" &amp;
               ADDRESS(1000, MATCH($B29, Attendance_data!$E$3:$BI$3, 0) + 4)),
      "P"
    )
    +
    COUNTIFS(
      Attendance_data!$B$4:$B$1000,V$4,
      INDIRECT("Attendance_data!" &amp; ADDRESS(4, MATCH($B29, Attendance_data!$E$3:$BI$3, 0) + 4) &amp; ":" &amp;
               ADDRESS(1000, MATCH($B29, Attendance_data!$E$3:$BI$3, 0) + 4)),
      "A"
    )
  ),"")</f>
        <v>0.8</v>
      </c>
      <c r="W29" s="18">
        <f t="array" ref="W29">IFERROR(
  COUNTIFS(Attendance_data!$B$4:$B$1000,W$4,
    INDIRECT("Attendance_data!" &amp; ADDRESS(4, MATCH($B29, Attendance_data!$E$3:$BI$3, 0) + 4) &amp; ":" &amp;
             ADDRESS(1000, MATCH($B29, Attendance_data!$E$3:$BI$3, 0) + 4)),
    "P"
  )
  /
  (
    COUNTIFS(
      Attendance_data!$B$4:$B$1000,W$4,
      INDIRECT("Attendance_data!" &amp; ADDRESS(4, MATCH($B29, Attendance_data!$E$3:$BI$3, 0) + 4) &amp; ":" &amp;
               ADDRESS(1000, MATCH($B29, Attendance_data!$E$3:$BI$3, 0) + 4)),
      "P"
    )
    +
    COUNTIFS(
      Attendance_data!$B$4:$B$1000,W$4,
      INDIRECT("Attendance_data!" &amp; ADDRESS(4, MATCH($B29, Attendance_data!$E$3:$BI$3, 0) + 4) &amp; ":" &amp;
               ADDRESS(1000, MATCH($B29, Attendance_data!$E$3:$BI$3, 0) + 4)),
      "A"
    )
  ),"")</f>
        <v>0.6</v>
      </c>
      <c r="X29" s="18">
        <f t="array" ref="X29">IFERROR(
  COUNTIFS(Attendance_data!$B$4:$B$1000,X$4,
    INDIRECT("Attendance_data!" &amp; ADDRESS(4, MATCH($B29, Attendance_data!$E$3:$BI$3, 0) + 4) &amp; ":" &amp;
             ADDRESS(1000, MATCH($B29, Attendance_data!$E$3:$BI$3, 0) + 4)),
    "P"
  )
  /
  (
    COUNTIFS(
      Attendance_data!$B$4:$B$1000,X$4,
      INDIRECT("Attendance_data!" &amp; ADDRESS(4, MATCH($B29, Attendance_data!$E$3:$BI$3, 0) + 4) &amp; ":" &amp;
               ADDRESS(1000, MATCH($B29, Attendance_data!$E$3:$BI$3, 0) + 4)),
      "P"
    )
    +
    COUNTIFS(
      Attendance_data!$B$4:$B$1000,X$4,
      INDIRECT("Attendance_data!" &amp; ADDRESS(4, MATCH($B29, Attendance_data!$E$3:$BI$3, 0) + 4) &amp; ":" &amp;
               ADDRESS(1000, MATCH($B29, Attendance_data!$E$3:$BI$3, 0) + 4)),
      "A"
    )
  ),"")</f>
        <v>0.8095238095</v>
      </c>
      <c r="Y29" s="18">
        <f t="array" ref="Y29">IFERROR(
  COUNTIFS(Attendance_data!$B$4:$B$1000,Y$4,
    INDIRECT("Attendance_data!" &amp; ADDRESS(4, MATCH($B29, Attendance_data!$E$3:$BI$3, 0) + 4) &amp; ":" &amp;
             ADDRESS(1000, MATCH($B29, Attendance_data!$E$3:$BI$3, 0) + 4)),
    "P"
  )
  /
  (
    COUNTIFS(
      Attendance_data!$B$4:$B$1000,Y$4,
      INDIRECT("Attendance_data!" &amp; ADDRESS(4, MATCH($B29, Attendance_data!$E$3:$BI$3, 0) + 4) &amp; ":" &amp;
               ADDRESS(1000, MATCH($B29, Attendance_data!$E$3:$BI$3, 0) + 4)),
      "P"
    )
    +
    COUNTIFS(
      Attendance_data!$B$4:$B$1000,Y$4,
      INDIRECT("Attendance_data!" &amp; ADDRESS(4, MATCH($B29, Attendance_data!$E$3:$BI$3, 0) + 4) &amp; ":" &amp;
               ADDRESS(1000, MATCH($B29, Attendance_data!$E$3:$BI$3, 0) + 4)),
      "A"
    )
  ),"")</f>
        <v>0.5833333333</v>
      </c>
      <c r="Z29" s="18">
        <f t="array" ref="Z29">IFERROR(
  COUNTIFS(Attendance_data!$B$4:$B$1000,Z$4,
    INDIRECT("Attendance_data!" &amp; ADDRESS(4, MATCH($B29, Attendance_data!$E$3:$BI$3, 0) + 4) &amp; ":" &amp;
             ADDRESS(1000, MATCH($B29, Attendance_data!$E$3:$BI$3, 0) + 4)),
    "P"
  )
  /
  (
    COUNTIFS(
      Attendance_data!$B$4:$B$1000,Z$4,
      INDIRECT("Attendance_data!" &amp; ADDRESS(4, MATCH($B29, Attendance_data!$E$3:$BI$3, 0) + 4) &amp; ":" &amp;
               ADDRESS(1000, MATCH($B29, Attendance_data!$E$3:$BI$3, 0) + 4)),
      "P"
    )
    +
    COUNTIFS(
      Attendance_data!$B$4:$B$1000,Z$4,
      INDIRECT("Attendance_data!" &amp; ADDRESS(4, MATCH($B29, Attendance_data!$E$3:$BI$3, 0) + 4) &amp; ":" &amp;
               ADDRESS(1000, MATCH($B29, Attendance_data!$E$3:$BI$3, 0) + 4)),
      "A"
    )
  ),"")</f>
        <v>0.1111111111</v>
      </c>
      <c r="AA29" s="18" t="str">
        <f t="array" ref="AA29">IFERROR(
  COUNTIFS(Attendance_data!$B$4:$B$1000,AA$4,
    INDIRECT("Attendance_data!" &amp; ADDRESS(4, MATCH($B29, Attendance_data!$E$3:$BI$3, 0) + 4) &amp; ":" &amp;
             ADDRESS(1000, MATCH($B29, Attendance_data!$E$3:$BI$3, 0) + 4)),
    "P"
  )
  /
  (
    COUNTIFS(
      Attendance_data!$B$4:$B$1000,AA$4,
      INDIRECT("Attendance_data!" &amp; ADDRESS(4, MATCH($B29, Attendance_data!$E$3:$BI$3, 0) + 4) &amp; ":" &amp;
               ADDRESS(1000, MATCH($B29, Attendance_data!$E$3:$BI$3, 0) + 4)),
      "P"
    )
    +
    COUNTIFS(
      Attendance_data!$B$4:$B$1000,AA$4,
      INDIRECT("Attendance_data!" &amp; ADDRESS(4, MATCH($B29, Attendance_data!$E$3:$BI$3, 0) + 4) &amp; ":" &amp;
               ADDRESS(1000, MATCH($B29, Attendance_data!$E$3:$BI$3, 0) + 4)),
      "A"
    )
  ),"")</f>
        <v/>
      </c>
      <c r="AB29" s="19">
        <f t="shared" si="3"/>
        <v>0.4969662034</v>
      </c>
      <c r="AC29" s="1"/>
      <c r="AD29" s="1"/>
      <c r="AE29" s="1"/>
      <c r="AF29" s="1"/>
      <c r="AG29" s="1"/>
      <c r="AH29" s="1"/>
    </row>
    <row r="30">
      <c r="A30" s="14">
        <f t="shared" si="2"/>
        <v>26</v>
      </c>
      <c r="B30" s="21" t="s">
        <v>95</v>
      </c>
      <c r="C30" s="21" t="s">
        <v>96</v>
      </c>
      <c r="D30" s="21" t="s">
        <v>30</v>
      </c>
      <c r="E30" s="21" t="s">
        <v>21</v>
      </c>
      <c r="F30" s="21">
        <v>8.104558224E9</v>
      </c>
      <c r="G30" s="21" t="s">
        <v>27</v>
      </c>
      <c r="H30" s="21">
        <v>2025.0</v>
      </c>
      <c r="I30" s="16" t="s">
        <v>23</v>
      </c>
      <c r="J30" s="17">
        <v>20.0</v>
      </c>
      <c r="K30" s="17">
        <v>25.0</v>
      </c>
      <c r="L30" s="17">
        <v>27.0</v>
      </c>
      <c r="M30" s="17">
        <v>26.0</v>
      </c>
      <c r="N30" s="17">
        <v>26.0</v>
      </c>
      <c r="O30" s="17" t="s">
        <v>32</v>
      </c>
      <c r="P30" s="18" t="str">
        <f t="array" ref="P30">IFERROR(
  COUNTIFS(Attendance_data!$B$4:$B$1000,P$4,
    INDIRECT("Attendance_data!" &amp; ADDRESS(4, MATCH($B30, Attendance_data!$E$3:$BI$3, 0) + 4) &amp; ":" &amp;
             ADDRESS(1000, MATCH($B30, Attendance_data!$E$3:$BI$3, 0) + 4)),
    "P"
  )
  /
  (
    COUNTIFS(
      Attendance_data!$B$4:$B$1000,P$4,
      INDIRECT("Attendance_data!" &amp; ADDRESS(4, MATCH($B30, Attendance_data!$E$3:$BI$3, 0) + 4) &amp; ":" &amp;
               ADDRESS(1000, MATCH($B30, Attendance_data!$E$3:$BI$3, 0) + 4)),
      "P"
    )
    +
    COUNTIFS(
      Attendance_data!$B$4:$B$1000,P$4,
      INDIRECT("Attendance_data!" &amp; ADDRESS(4, MATCH($B30, Attendance_data!$E$3:$BI$3, 0) + 4) &amp; ":" &amp;
               ADDRESS(1000, MATCH($B30, Attendance_data!$E$3:$BI$3, 0) + 4)),
      "A"
    )
  ),"")</f>
        <v/>
      </c>
      <c r="Q30" s="18" t="str">
        <f t="array" ref="Q30">IFERROR(
  COUNTIFS(Attendance_data!$B$4:$B$1000,Q$4,
    INDIRECT("Attendance_data!" &amp; ADDRESS(4, MATCH($B30, Attendance_data!$E$3:$BI$3, 0) + 4) &amp; ":" &amp;
             ADDRESS(1000, MATCH($B30, Attendance_data!$E$3:$BI$3, 0) + 4)),
    "P"
  )
  /
  (
    COUNTIFS(
      Attendance_data!$B$4:$B$1000,Q$4,
      INDIRECT("Attendance_data!" &amp; ADDRESS(4, MATCH($B30, Attendance_data!$E$3:$BI$3, 0) + 4) &amp; ":" &amp;
               ADDRESS(1000, MATCH($B30, Attendance_data!$E$3:$BI$3, 0) + 4)),
      "P"
    )
    +
    COUNTIFS(
      Attendance_data!$B$4:$B$1000,Q$4,
      INDIRECT("Attendance_data!" &amp; ADDRESS(4, MATCH($B30, Attendance_data!$E$3:$BI$3, 0) + 4) &amp; ":" &amp;
               ADDRESS(1000, MATCH($B30, Attendance_data!$E$3:$BI$3, 0) + 4)),
      "A"
    )
  ),"")</f>
        <v/>
      </c>
      <c r="R30" s="18">
        <f t="array" ref="R30">IFERROR(
  COUNTIFS(Attendance_data!$B$4:$B$1000,R$4,
    INDIRECT("Attendance_data!" &amp; ADDRESS(4, MATCH($B30, Attendance_data!$E$3:$BI$3, 0) + 4) &amp; ":" &amp;
             ADDRESS(1000, MATCH($B30, Attendance_data!$E$3:$BI$3, 0) + 4)),
    "P"
  )
  /
  (
    COUNTIFS(
      Attendance_data!$B$4:$B$1000,R$4,
      INDIRECT("Attendance_data!" &amp; ADDRESS(4, MATCH($B30, Attendance_data!$E$3:$BI$3, 0) + 4) &amp; ":" &amp;
               ADDRESS(1000, MATCH($B30, Attendance_data!$E$3:$BI$3, 0) + 4)),
      "P"
    )
    +
    COUNTIFS(
      Attendance_data!$B$4:$B$1000,R$4,
      INDIRECT("Attendance_data!" &amp; ADDRESS(4, MATCH($B30, Attendance_data!$E$3:$BI$3, 0) + 4) &amp; ":" &amp;
               ADDRESS(1000, MATCH($B30, Attendance_data!$E$3:$BI$3, 0) + 4)),
      "A"
    )
  ),"")</f>
        <v>0.8947368421</v>
      </c>
      <c r="S30" s="18">
        <f t="array" ref="S30">IFERROR(
  COUNTIFS(Attendance_data!$B$4:$B$1000,S$4,
    INDIRECT("Attendance_data!" &amp; ADDRESS(4, MATCH($B30, Attendance_data!$E$3:$BI$3, 0) + 4) &amp; ":" &amp;
             ADDRESS(1000, MATCH($B30, Attendance_data!$E$3:$BI$3, 0) + 4)),
    "P"
  )
  /
  (
    COUNTIFS(
      Attendance_data!$B$4:$B$1000,S$4,
      INDIRECT("Attendance_data!" &amp; ADDRESS(4, MATCH($B30, Attendance_data!$E$3:$BI$3, 0) + 4) &amp; ":" &amp;
               ADDRESS(1000, MATCH($B30, Attendance_data!$E$3:$BI$3, 0) + 4)),
      "P"
    )
    +
    COUNTIFS(
      Attendance_data!$B$4:$B$1000,S$4,
      INDIRECT("Attendance_data!" &amp; ADDRESS(4, MATCH($B30, Attendance_data!$E$3:$BI$3, 0) + 4) &amp; ":" &amp;
               ADDRESS(1000, MATCH($B30, Attendance_data!$E$3:$BI$3, 0) + 4)),
      "A"
    )
  ),"")</f>
        <v>0.8636363636</v>
      </c>
      <c r="T30" s="18">
        <f t="array" ref="T30">IFERROR(
  COUNTIFS(Attendance_data!$B$4:$B$1000,T$4,
    INDIRECT("Attendance_data!" &amp; ADDRESS(4, MATCH($B30, Attendance_data!$E$3:$BI$3, 0) + 4) &amp; ":" &amp;
             ADDRESS(1000, MATCH($B30, Attendance_data!$E$3:$BI$3, 0) + 4)),
    "P"
  )
  /
  (
    COUNTIFS(
      Attendance_data!$B$4:$B$1000,T$4,
      INDIRECT("Attendance_data!" &amp; ADDRESS(4, MATCH($B30, Attendance_data!$E$3:$BI$3, 0) + 4) &amp; ":" &amp;
               ADDRESS(1000, MATCH($B30, Attendance_data!$E$3:$BI$3, 0) + 4)),
      "P"
    )
    +
    COUNTIFS(
      Attendance_data!$B$4:$B$1000,T$4,
      INDIRECT("Attendance_data!" &amp; ADDRESS(4, MATCH($B30, Attendance_data!$E$3:$BI$3, 0) + 4) &amp; ":" &amp;
               ADDRESS(1000, MATCH($B30, Attendance_data!$E$3:$BI$3, 0) + 4)),
      "A"
    )
  ),"")</f>
        <v>0.85</v>
      </c>
      <c r="U30" s="18">
        <f t="array" ref="U30">IFERROR(
  COUNTIFS(Attendance_data!$B$4:$B$1000,U$4,
    INDIRECT("Attendance_data!" &amp; ADDRESS(4, MATCH($B30, Attendance_data!$E$3:$BI$3, 0) + 4) &amp; ":" &amp;
             ADDRESS(1000, MATCH($B30, Attendance_data!$E$3:$BI$3, 0) + 4)),
    "P"
  )
  /
  (
    COUNTIFS(
      Attendance_data!$B$4:$B$1000,U$4,
      INDIRECT("Attendance_data!" &amp; ADDRESS(4, MATCH($B30, Attendance_data!$E$3:$BI$3, 0) + 4) &amp; ":" &amp;
               ADDRESS(1000, MATCH($B30, Attendance_data!$E$3:$BI$3, 0) + 4)),
      "P"
    )
    +
    COUNTIFS(
      Attendance_data!$B$4:$B$1000,U$4,
      INDIRECT("Attendance_data!" &amp; ADDRESS(4, MATCH($B30, Attendance_data!$E$3:$BI$3, 0) + 4) &amp; ":" &amp;
               ADDRESS(1000, MATCH($B30, Attendance_data!$E$3:$BI$3, 0) + 4)),
      "A"
    )
  ),"")</f>
        <v>0.92</v>
      </c>
      <c r="V30" s="18">
        <f t="array" ref="V30">IFERROR(
  COUNTIFS(Attendance_data!$B$4:$B$1000,V$4,
    INDIRECT("Attendance_data!" &amp; ADDRESS(4, MATCH($B30, Attendance_data!$E$3:$BI$3, 0) + 4) &amp; ":" &amp;
             ADDRESS(1000, MATCH($B30, Attendance_data!$E$3:$BI$3, 0) + 4)),
    "P"
  )
  /
  (
    COUNTIFS(
      Attendance_data!$B$4:$B$1000,V$4,
      INDIRECT("Attendance_data!" &amp; ADDRESS(4, MATCH($B30, Attendance_data!$E$3:$BI$3, 0) + 4) &amp; ":" &amp;
               ADDRESS(1000, MATCH($B30, Attendance_data!$E$3:$BI$3, 0) + 4)),
      "P"
    )
    +
    COUNTIFS(
      Attendance_data!$B$4:$B$1000,V$4,
      INDIRECT("Attendance_data!" &amp; ADDRESS(4, MATCH($B30, Attendance_data!$E$3:$BI$3, 0) + 4) &amp; ":" &amp;
               ADDRESS(1000, MATCH($B30, Attendance_data!$E$3:$BI$3, 0) + 4)),
      "A"
    )
  ),"")</f>
        <v>0.92</v>
      </c>
      <c r="W30" s="18">
        <f t="array" ref="W30">IFERROR(
  COUNTIFS(Attendance_data!$B$4:$B$1000,W$4,
    INDIRECT("Attendance_data!" &amp; ADDRESS(4, MATCH($B30, Attendance_data!$E$3:$BI$3, 0) + 4) &amp; ":" &amp;
             ADDRESS(1000, MATCH($B30, Attendance_data!$E$3:$BI$3, 0) + 4)),
    "P"
  )
  /
  (
    COUNTIFS(
      Attendance_data!$B$4:$B$1000,W$4,
      INDIRECT("Attendance_data!" &amp; ADDRESS(4, MATCH($B30, Attendance_data!$E$3:$BI$3, 0) + 4) &amp; ":" &amp;
               ADDRESS(1000, MATCH($B30, Attendance_data!$E$3:$BI$3, 0) + 4)),
      "P"
    )
    +
    COUNTIFS(
      Attendance_data!$B$4:$B$1000,W$4,
      INDIRECT("Attendance_data!" &amp; ADDRESS(4, MATCH($B30, Attendance_data!$E$3:$BI$3, 0) + 4) &amp; ":" &amp;
               ADDRESS(1000, MATCH($B30, Attendance_data!$E$3:$BI$3, 0) + 4)),
      "A"
    )
  ),"")</f>
        <v>1</v>
      </c>
      <c r="X30" s="18">
        <f t="array" ref="X30">IFERROR(
  COUNTIFS(Attendance_data!$B$4:$B$1000,X$4,
    INDIRECT("Attendance_data!" &amp; ADDRESS(4, MATCH($B30, Attendance_data!$E$3:$BI$3, 0) + 4) &amp; ":" &amp;
             ADDRESS(1000, MATCH($B30, Attendance_data!$E$3:$BI$3, 0) + 4)),
    "P"
  )
  /
  (
    COUNTIFS(
      Attendance_data!$B$4:$B$1000,X$4,
      INDIRECT("Attendance_data!" &amp; ADDRESS(4, MATCH($B30, Attendance_data!$E$3:$BI$3, 0) + 4) &amp; ":" &amp;
               ADDRESS(1000, MATCH($B30, Attendance_data!$E$3:$BI$3, 0) + 4)),
      "P"
    )
    +
    COUNTIFS(
      Attendance_data!$B$4:$B$1000,X$4,
      INDIRECT("Attendance_data!" &amp; ADDRESS(4, MATCH($B30, Attendance_data!$E$3:$BI$3, 0) + 4) &amp; ":" &amp;
               ADDRESS(1000, MATCH($B30, Attendance_data!$E$3:$BI$3, 0) + 4)),
      "A"
    )
  ),"")</f>
        <v>0.9047619048</v>
      </c>
      <c r="Y30" s="18">
        <f t="array" ref="Y30">IFERROR(
  COUNTIFS(Attendance_data!$B$4:$B$1000,Y$4,
    INDIRECT("Attendance_data!" &amp; ADDRESS(4, MATCH($B30, Attendance_data!$E$3:$BI$3, 0) + 4) &amp; ":" &amp;
             ADDRESS(1000, MATCH($B30, Attendance_data!$E$3:$BI$3, 0) + 4)),
    "P"
  )
  /
  (
    COUNTIFS(
      Attendance_data!$B$4:$B$1000,Y$4,
      INDIRECT("Attendance_data!" &amp; ADDRESS(4, MATCH($B30, Attendance_data!$E$3:$BI$3, 0) + 4) &amp; ":" &amp;
               ADDRESS(1000, MATCH($B30, Attendance_data!$E$3:$BI$3, 0) + 4)),
      "P"
    )
    +
    COUNTIFS(
      Attendance_data!$B$4:$B$1000,Y$4,
      INDIRECT("Attendance_data!" &amp; ADDRESS(4, MATCH($B30, Attendance_data!$E$3:$BI$3, 0) + 4) &amp; ":" &amp;
               ADDRESS(1000, MATCH($B30, Attendance_data!$E$3:$BI$3, 0) + 4)),
      "A"
    )
  ),"")</f>
        <v>0.6666666667</v>
      </c>
      <c r="Z30" s="18">
        <f t="array" ref="Z30">IFERROR(
  COUNTIFS(Attendance_data!$B$4:$B$1000,Z$4,
    INDIRECT("Attendance_data!" &amp; ADDRESS(4, MATCH($B30, Attendance_data!$E$3:$BI$3, 0) + 4) &amp; ":" &amp;
             ADDRESS(1000, MATCH($B30, Attendance_data!$E$3:$BI$3, 0) + 4)),
    "P"
  )
  /
  (
    COUNTIFS(
      Attendance_data!$B$4:$B$1000,Z$4,
      INDIRECT("Attendance_data!" &amp; ADDRESS(4, MATCH($B30, Attendance_data!$E$3:$BI$3, 0) + 4) &amp; ":" &amp;
               ADDRESS(1000, MATCH($B30, Attendance_data!$E$3:$BI$3, 0) + 4)),
      "P"
    )
    +
    COUNTIFS(
      Attendance_data!$B$4:$B$1000,Z$4,
      INDIRECT("Attendance_data!" &amp; ADDRESS(4, MATCH($B30, Attendance_data!$E$3:$BI$3, 0) + 4) &amp; ":" &amp;
               ADDRESS(1000, MATCH($B30, Attendance_data!$E$3:$BI$3, 0) + 4)),
      "A"
    )
  ),"")</f>
        <v>0.2222222222</v>
      </c>
      <c r="AA30" s="18" t="str">
        <f t="array" ref="AA30">IFERROR(
  COUNTIFS(Attendance_data!$B$4:$B$1000,AA$4,
    INDIRECT("Attendance_data!" &amp; ADDRESS(4, MATCH($B30, Attendance_data!$E$3:$BI$3, 0) + 4) &amp; ":" &amp;
             ADDRESS(1000, MATCH($B30, Attendance_data!$E$3:$BI$3, 0) + 4)),
    "P"
  )
  /
  (
    COUNTIFS(
      Attendance_data!$B$4:$B$1000,AA$4,
      INDIRECT("Attendance_data!" &amp; ADDRESS(4, MATCH($B30, Attendance_data!$E$3:$BI$3, 0) + 4) &amp; ":" &amp;
               ADDRESS(1000, MATCH($B30, Attendance_data!$E$3:$BI$3, 0) + 4)),
      "P"
    )
    +
    COUNTIFS(
      Attendance_data!$B$4:$B$1000,AA$4,
      INDIRECT("Attendance_data!" &amp; ADDRESS(4, MATCH($B30, Attendance_data!$E$3:$BI$3, 0) + 4) &amp; ":" &amp;
               ADDRESS(1000, MATCH($B30, Attendance_data!$E$3:$BI$3, 0) + 4)),
      "A"
    )
  ),"")</f>
        <v/>
      </c>
      <c r="AB30" s="19">
        <f t="shared" si="3"/>
        <v>0.8046693333</v>
      </c>
      <c r="AC30" s="1"/>
      <c r="AD30" s="1"/>
      <c r="AE30" s="1"/>
      <c r="AF30" s="1"/>
      <c r="AG30" s="1"/>
      <c r="AH30" s="1"/>
    </row>
    <row r="31">
      <c r="A31" s="14">
        <f t="shared" si="2"/>
        <v>27</v>
      </c>
      <c r="B31" s="21" t="s">
        <v>97</v>
      </c>
      <c r="C31" s="21" t="s">
        <v>98</v>
      </c>
      <c r="D31" s="21" t="s">
        <v>66</v>
      </c>
      <c r="E31" s="21" t="s">
        <v>21</v>
      </c>
      <c r="F31" s="21">
        <v>7.021505206E9</v>
      </c>
      <c r="G31" s="21" t="s">
        <v>31</v>
      </c>
      <c r="H31" s="21">
        <v>2025.0</v>
      </c>
      <c r="I31" s="16" t="s">
        <v>23</v>
      </c>
      <c r="J31" s="1"/>
      <c r="K31" s="1"/>
      <c r="L31" s="1"/>
      <c r="M31" s="17">
        <v>16.0</v>
      </c>
      <c r="N31" s="17">
        <v>18.0</v>
      </c>
      <c r="O31" s="17">
        <v>19.0</v>
      </c>
      <c r="P31" s="18" t="str">
        <f t="array" ref="P31">IFERROR(
  COUNTIFS(Attendance_data!$B$4:$B$1000,P$4,
    INDIRECT("Attendance_data!" &amp; ADDRESS(4, MATCH($B31, Attendance_data!$E$3:$BI$3, 0) + 4) &amp; ":" &amp;
             ADDRESS(1000, MATCH($B31, Attendance_data!$E$3:$BI$3, 0) + 4)),
    "P"
  )
  /
  (
    COUNTIFS(
      Attendance_data!$B$4:$B$1000,P$4,
      INDIRECT("Attendance_data!" &amp; ADDRESS(4, MATCH($B31, Attendance_data!$E$3:$BI$3, 0) + 4) &amp; ":" &amp;
               ADDRESS(1000, MATCH($B31, Attendance_data!$E$3:$BI$3, 0) + 4)),
      "P"
    )
    +
    COUNTIFS(
      Attendance_data!$B$4:$B$1000,P$4,
      INDIRECT("Attendance_data!" &amp; ADDRESS(4, MATCH($B31, Attendance_data!$E$3:$BI$3, 0) + 4) &amp; ":" &amp;
               ADDRESS(1000, MATCH($B31, Attendance_data!$E$3:$BI$3, 0) + 4)),
      "A"
    )
  ),"")</f>
        <v/>
      </c>
      <c r="Q31" s="18" t="str">
        <f t="array" ref="Q31">IFERROR(
  COUNTIFS(Attendance_data!$B$4:$B$1000,Q$4,
    INDIRECT("Attendance_data!" &amp; ADDRESS(4, MATCH($B31, Attendance_data!$E$3:$BI$3, 0) + 4) &amp; ":" &amp;
             ADDRESS(1000, MATCH($B31, Attendance_data!$E$3:$BI$3, 0) + 4)),
    "P"
  )
  /
  (
    COUNTIFS(
      Attendance_data!$B$4:$B$1000,Q$4,
      INDIRECT("Attendance_data!" &amp; ADDRESS(4, MATCH($B31, Attendance_data!$E$3:$BI$3, 0) + 4) &amp; ":" &amp;
               ADDRESS(1000, MATCH($B31, Attendance_data!$E$3:$BI$3, 0) + 4)),
      "P"
    )
    +
    COUNTIFS(
      Attendance_data!$B$4:$B$1000,Q$4,
      INDIRECT("Attendance_data!" &amp; ADDRESS(4, MATCH($B31, Attendance_data!$E$3:$BI$3, 0) + 4) &amp; ":" &amp;
               ADDRESS(1000, MATCH($B31, Attendance_data!$E$3:$BI$3, 0) + 4)),
      "A"
    )
  ),"")</f>
        <v/>
      </c>
      <c r="R31" s="18">
        <f t="array" ref="R31">IFERROR(
  COUNTIFS(Attendance_data!$B$4:$B$1000,R$4,
    INDIRECT("Attendance_data!" &amp; ADDRESS(4, MATCH($B31, Attendance_data!$E$3:$BI$3, 0) + 4) &amp; ":" &amp;
             ADDRESS(1000, MATCH($B31, Attendance_data!$E$3:$BI$3, 0) + 4)),
    "P"
  )
  /
  (
    COUNTIFS(
      Attendance_data!$B$4:$B$1000,R$4,
      INDIRECT("Attendance_data!" &amp; ADDRESS(4, MATCH($B31, Attendance_data!$E$3:$BI$3, 0) + 4) &amp; ":" &amp;
               ADDRESS(1000, MATCH($B31, Attendance_data!$E$3:$BI$3, 0) + 4)),
      "P"
    )
    +
    COUNTIFS(
      Attendance_data!$B$4:$B$1000,R$4,
      INDIRECT("Attendance_data!" &amp; ADDRESS(4, MATCH($B31, Attendance_data!$E$3:$BI$3, 0) + 4) &amp; ":" &amp;
               ADDRESS(1000, MATCH($B31, Attendance_data!$E$3:$BI$3, 0) + 4)),
      "A"
    )
  ),"")</f>
        <v>0.7368421053</v>
      </c>
      <c r="S31" s="18">
        <f t="array" ref="S31">IFERROR(
  COUNTIFS(Attendance_data!$B$4:$B$1000,S$4,
    INDIRECT("Attendance_data!" &amp; ADDRESS(4, MATCH($B31, Attendance_data!$E$3:$BI$3, 0) + 4) &amp; ":" &amp;
             ADDRESS(1000, MATCH($B31, Attendance_data!$E$3:$BI$3, 0) + 4)),
    "P"
  )
  /
  (
    COUNTIFS(
      Attendance_data!$B$4:$B$1000,S$4,
      INDIRECT("Attendance_data!" &amp; ADDRESS(4, MATCH($B31, Attendance_data!$E$3:$BI$3, 0) + 4) &amp; ":" &amp;
               ADDRESS(1000, MATCH($B31, Attendance_data!$E$3:$BI$3, 0) + 4)),
      "P"
    )
    +
    COUNTIFS(
      Attendance_data!$B$4:$B$1000,S$4,
      INDIRECT("Attendance_data!" &amp; ADDRESS(4, MATCH($B31, Attendance_data!$E$3:$BI$3, 0) + 4) &amp; ":" &amp;
               ADDRESS(1000, MATCH($B31, Attendance_data!$E$3:$BI$3, 0) + 4)),
      "A"
    )
  ),"")</f>
        <v>0.9090909091</v>
      </c>
      <c r="T31" s="18">
        <f t="array" ref="T31">IFERROR(
  COUNTIFS(Attendance_data!$B$4:$B$1000,T$4,
    INDIRECT("Attendance_data!" &amp; ADDRESS(4, MATCH($B31, Attendance_data!$E$3:$BI$3, 0) + 4) &amp; ":" &amp;
             ADDRESS(1000, MATCH($B31, Attendance_data!$E$3:$BI$3, 0) + 4)),
    "P"
  )
  /
  (
    COUNTIFS(
      Attendance_data!$B$4:$B$1000,T$4,
      INDIRECT("Attendance_data!" &amp; ADDRESS(4, MATCH($B31, Attendance_data!$E$3:$BI$3, 0) + 4) &amp; ":" &amp;
               ADDRESS(1000, MATCH($B31, Attendance_data!$E$3:$BI$3, 0) + 4)),
      "P"
    )
    +
    COUNTIFS(
      Attendance_data!$B$4:$B$1000,T$4,
      INDIRECT("Attendance_data!" &amp; ADDRESS(4, MATCH($B31, Attendance_data!$E$3:$BI$3, 0) + 4) &amp; ":" &amp;
               ADDRESS(1000, MATCH($B31, Attendance_data!$E$3:$BI$3, 0) + 4)),
      "A"
    )
  ),"")</f>
        <v>0.9</v>
      </c>
      <c r="U31" s="18">
        <f t="array" ref="U31">IFERROR(
  COUNTIFS(Attendance_data!$B$4:$B$1000,U$4,
    INDIRECT("Attendance_data!" &amp; ADDRESS(4, MATCH($B31, Attendance_data!$E$3:$BI$3, 0) + 4) &amp; ":" &amp;
             ADDRESS(1000, MATCH($B31, Attendance_data!$E$3:$BI$3, 0) + 4)),
    "P"
  )
  /
  (
    COUNTIFS(
      Attendance_data!$B$4:$B$1000,U$4,
      INDIRECT("Attendance_data!" &amp; ADDRESS(4, MATCH($B31, Attendance_data!$E$3:$BI$3, 0) + 4) &amp; ":" &amp;
               ADDRESS(1000, MATCH($B31, Attendance_data!$E$3:$BI$3, 0) + 4)),
      "P"
    )
    +
    COUNTIFS(
      Attendance_data!$B$4:$B$1000,U$4,
      INDIRECT("Attendance_data!" &amp; ADDRESS(4, MATCH($B31, Attendance_data!$E$3:$BI$3, 0) + 4) &amp; ":" &amp;
               ADDRESS(1000, MATCH($B31, Attendance_data!$E$3:$BI$3, 0) + 4)),
      "A"
    )
  ),"")</f>
        <v>1</v>
      </c>
      <c r="V31" s="18">
        <f t="array" ref="V31">IFERROR(
  COUNTIFS(Attendance_data!$B$4:$B$1000,V$4,
    INDIRECT("Attendance_data!" &amp; ADDRESS(4, MATCH($B31, Attendance_data!$E$3:$BI$3, 0) + 4) &amp; ":" &amp;
             ADDRESS(1000, MATCH($B31, Attendance_data!$E$3:$BI$3, 0) + 4)),
    "P"
  )
  /
  (
    COUNTIFS(
      Attendance_data!$B$4:$B$1000,V$4,
      INDIRECT("Attendance_data!" &amp; ADDRESS(4, MATCH($B31, Attendance_data!$E$3:$BI$3, 0) + 4) &amp; ":" &amp;
               ADDRESS(1000, MATCH($B31, Attendance_data!$E$3:$BI$3, 0) + 4)),
      "P"
    )
    +
    COUNTIFS(
      Attendance_data!$B$4:$B$1000,V$4,
      INDIRECT("Attendance_data!" &amp; ADDRESS(4, MATCH($B31, Attendance_data!$E$3:$BI$3, 0) + 4) &amp; ":" &amp;
               ADDRESS(1000, MATCH($B31, Attendance_data!$E$3:$BI$3, 0) + 4)),
      "A"
    )
  ),"")</f>
        <v>0.8</v>
      </c>
      <c r="W31" s="18">
        <f t="array" ref="W31">IFERROR(
  COUNTIFS(Attendance_data!$B$4:$B$1000,W$4,
    INDIRECT("Attendance_data!" &amp; ADDRESS(4, MATCH($B31, Attendance_data!$E$3:$BI$3, 0) + 4) &amp; ":" &amp;
             ADDRESS(1000, MATCH($B31, Attendance_data!$E$3:$BI$3, 0) + 4)),
    "P"
  )
  /
  (
    COUNTIFS(
      Attendance_data!$B$4:$B$1000,W$4,
      INDIRECT("Attendance_data!" &amp; ADDRESS(4, MATCH($B31, Attendance_data!$E$3:$BI$3, 0) + 4) &amp; ":" &amp;
               ADDRESS(1000, MATCH($B31, Attendance_data!$E$3:$BI$3, 0) + 4)),
      "P"
    )
    +
    COUNTIFS(
      Attendance_data!$B$4:$B$1000,W$4,
      INDIRECT("Attendance_data!" &amp; ADDRESS(4, MATCH($B31, Attendance_data!$E$3:$BI$3, 0) + 4) &amp; ":" &amp;
               ADDRESS(1000, MATCH($B31, Attendance_data!$E$3:$BI$3, 0) + 4)),
      "A"
    )
  ),"")</f>
        <v>0.88</v>
      </c>
      <c r="X31" s="18">
        <f t="array" ref="X31">IFERROR(
  COUNTIFS(Attendance_data!$B$4:$B$1000,X$4,
    INDIRECT("Attendance_data!" &amp; ADDRESS(4, MATCH($B31, Attendance_data!$E$3:$BI$3, 0) + 4) &amp; ":" &amp;
             ADDRESS(1000, MATCH($B31, Attendance_data!$E$3:$BI$3, 0) + 4)),
    "P"
  )
  /
  (
    COUNTIFS(
      Attendance_data!$B$4:$B$1000,X$4,
      INDIRECT("Attendance_data!" &amp; ADDRESS(4, MATCH($B31, Attendance_data!$E$3:$BI$3, 0) + 4) &amp; ":" &amp;
               ADDRESS(1000, MATCH($B31, Attendance_data!$E$3:$BI$3, 0) + 4)),
      "P"
    )
    +
    COUNTIFS(
      Attendance_data!$B$4:$B$1000,X$4,
      INDIRECT("Attendance_data!" &amp; ADDRESS(4, MATCH($B31, Attendance_data!$E$3:$BI$3, 0) + 4) &amp; ":" &amp;
               ADDRESS(1000, MATCH($B31, Attendance_data!$E$3:$BI$3, 0) + 4)),
      "A"
    )
  ),"")</f>
        <v>1</v>
      </c>
      <c r="Y31" s="18">
        <f t="array" ref="Y31">IFERROR(
  COUNTIFS(Attendance_data!$B$4:$B$1000,Y$4,
    INDIRECT("Attendance_data!" &amp; ADDRESS(4, MATCH($B31, Attendance_data!$E$3:$BI$3, 0) + 4) &amp; ":" &amp;
             ADDRESS(1000, MATCH($B31, Attendance_data!$E$3:$BI$3, 0) + 4)),
    "P"
  )
  /
  (
    COUNTIFS(
      Attendance_data!$B$4:$B$1000,Y$4,
      INDIRECT("Attendance_data!" &amp; ADDRESS(4, MATCH($B31, Attendance_data!$E$3:$BI$3, 0) + 4) &amp; ":" &amp;
               ADDRESS(1000, MATCH($B31, Attendance_data!$E$3:$BI$3, 0) + 4)),
      "P"
    )
    +
    COUNTIFS(
      Attendance_data!$B$4:$B$1000,Y$4,
      INDIRECT("Attendance_data!" &amp; ADDRESS(4, MATCH($B31, Attendance_data!$E$3:$BI$3, 0) + 4) &amp; ":" &amp;
               ADDRESS(1000, MATCH($B31, Attendance_data!$E$3:$BI$3, 0) + 4)),
      "A"
    )
  ),"")</f>
        <v>0.9583333333</v>
      </c>
      <c r="Z31" s="18">
        <f t="array" ref="Z31">IFERROR(
  COUNTIFS(Attendance_data!$B$4:$B$1000,Z$4,
    INDIRECT("Attendance_data!" &amp; ADDRESS(4, MATCH($B31, Attendance_data!$E$3:$BI$3, 0) + 4) &amp; ":" &amp;
             ADDRESS(1000, MATCH($B31, Attendance_data!$E$3:$BI$3, 0) + 4)),
    "P"
  )
  /
  (
    COUNTIFS(
      Attendance_data!$B$4:$B$1000,Z$4,
      INDIRECT("Attendance_data!" &amp; ADDRESS(4, MATCH($B31, Attendance_data!$E$3:$BI$3, 0) + 4) &amp; ":" &amp;
               ADDRESS(1000, MATCH($B31, Attendance_data!$E$3:$BI$3, 0) + 4)),
      "P"
    )
    +
    COUNTIFS(
      Attendance_data!$B$4:$B$1000,Z$4,
      INDIRECT("Attendance_data!" &amp; ADDRESS(4, MATCH($B31, Attendance_data!$E$3:$BI$3, 0) + 4) &amp; ":" &amp;
               ADDRESS(1000, MATCH($B31, Attendance_data!$E$3:$BI$3, 0) + 4)),
      "A"
    )
  ),"")</f>
        <v>1</v>
      </c>
      <c r="AA31" s="18" t="str">
        <f t="array" ref="AA31">IFERROR(
  COUNTIFS(Attendance_data!$B$4:$B$1000,AA$4,
    INDIRECT("Attendance_data!" &amp; ADDRESS(4, MATCH($B31, Attendance_data!$E$3:$BI$3, 0) + 4) &amp; ":" &amp;
             ADDRESS(1000, MATCH($B31, Attendance_data!$E$3:$BI$3, 0) + 4)),
    "P"
  )
  /
  (
    COUNTIFS(
      Attendance_data!$B$4:$B$1000,AA$4,
      INDIRECT("Attendance_data!" &amp; ADDRESS(4, MATCH($B31, Attendance_data!$E$3:$BI$3, 0) + 4) &amp; ":" &amp;
               ADDRESS(1000, MATCH($B31, Attendance_data!$E$3:$BI$3, 0) + 4)),
      "P"
    )
    +
    COUNTIFS(
      Attendance_data!$B$4:$B$1000,AA$4,
      INDIRECT("Attendance_data!" &amp; ADDRESS(4, MATCH($B31, Attendance_data!$E$3:$BI$3, 0) + 4) &amp; ":" &amp;
               ADDRESS(1000, MATCH($B31, Attendance_data!$E$3:$BI$3, 0) + 4)),
      "A"
    )
  ),"")</f>
        <v/>
      </c>
      <c r="AB31" s="19">
        <f t="shared" si="3"/>
        <v>0.9093629275</v>
      </c>
      <c r="AC31" s="1"/>
      <c r="AD31" s="1"/>
      <c r="AE31" s="1"/>
      <c r="AF31" s="1"/>
      <c r="AG31" s="1"/>
      <c r="AH31" s="1"/>
    </row>
    <row r="32">
      <c r="A32" s="14">
        <f t="shared" si="2"/>
        <v>28</v>
      </c>
      <c r="B32" s="21" t="s">
        <v>99</v>
      </c>
      <c r="C32" s="21" t="s">
        <v>100</v>
      </c>
      <c r="D32" s="21" t="s">
        <v>76</v>
      </c>
      <c r="E32" s="21" t="s">
        <v>38</v>
      </c>
      <c r="F32" s="21">
        <v>9.807476874E9</v>
      </c>
      <c r="G32" s="21" t="s">
        <v>101</v>
      </c>
      <c r="H32" s="21">
        <v>2025.0</v>
      </c>
      <c r="I32" s="16" t="s">
        <v>23</v>
      </c>
      <c r="J32" s="1"/>
      <c r="K32" s="1"/>
      <c r="L32" s="1"/>
      <c r="M32" s="17">
        <v>9.0</v>
      </c>
      <c r="N32" s="17">
        <v>13.0</v>
      </c>
      <c r="O32" s="17">
        <v>16.0</v>
      </c>
      <c r="P32" s="18" t="str">
        <f t="array" ref="P32">IFERROR(
  COUNTIFS(Attendance_data!$B$4:$B$1000,P$4,
    INDIRECT("Attendance_data!" &amp; ADDRESS(4, MATCH($B32, Attendance_data!$E$3:$BI$3, 0) + 4) &amp; ":" &amp;
             ADDRESS(1000, MATCH($B32, Attendance_data!$E$3:$BI$3, 0) + 4)),
    "P"
  )
  /
  (
    COUNTIFS(
      Attendance_data!$B$4:$B$1000,P$4,
      INDIRECT("Attendance_data!" &amp; ADDRESS(4, MATCH($B32, Attendance_data!$E$3:$BI$3, 0) + 4) &amp; ":" &amp;
               ADDRESS(1000, MATCH($B32, Attendance_data!$E$3:$BI$3, 0) + 4)),
      "P"
    )
    +
    COUNTIFS(
      Attendance_data!$B$4:$B$1000,P$4,
      INDIRECT("Attendance_data!" &amp; ADDRESS(4, MATCH($B32, Attendance_data!$E$3:$BI$3, 0) + 4) &amp; ":" &amp;
               ADDRESS(1000, MATCH($B32, Attendance_data!$E$3:$BI$3, 0) + 4)),
      "A"
    )
  ),"")</f>
        <v/>
      </c>
      <c r="Q32" s="18" t="str">
        <f t="array" ref="Q32">IFERROR(
  COUNTIFS(Attendance_data!$B$4:$B$1000,Q$4,
    INDIRECT("Attendance_data!" &amp; ADDRESS(4, MATCH($B32, Attendance_data!$E$3:$BI$3, 0) + 4) &amp; ":" &amp;
             ADDRESS(1000, MATCH($B32, Attendance_data!$E$3:$BI$3, 0) + 4)),
    "P"
  )
  /
  (
    COUNTIFS(
      Attendance_data!$B$4:$B$1000,Q$4,
      INDIRECT("Attendance_data!" &amp; ADDRESS(4, MATCH($B32, Attendance_data!$E$3:$BI$3, 0) + 4) &amp; ":" &amp;
               ADDRESS(1000, MATCH($B32, Attendance_data!$E$3:$BI$3, 0) + 4)),
      "P"
    )
    +
    COUNTIFS(
      Attendance_data!$B$4:$B$1000,Q$4,
      INDIRECT("Attendance_data!" &amp; ADDRESS(4, MATCH($B32, Attendance_data!$E$3:$BI$3, 0) + 4) &amp; ":" &amp;
               ADDRESS(1000, MATCH($B32, Attendance_data!$E$3:$BI$3, 0) + 4)),
      "A"
    )
  ),"")</f>
        <v/>
      </c>
      <c r="R32" s="18" t="str">
        <f t="array" ref="R32">IFERROR(
  COUNTIFS(Attendance_data!$B$4:$B$1000,R$4,
    INDIRECT("Attendance_data!" &amp; ADDRESS(4, MATCH($B32, Attendance_data!$E$3:$BI$3, 0) + 4) &amp; ":" &amp;
             ADDRESS(1000, MATCH($B32, Attendance_data!$E$3:$BI$3, 0) + 4)),
    "P"
  )
  /
  (
    COUNTIFS(
      Attendance_data!$B$4:$B$1000,R$4,
      INDIRECT("Attendance_data!" &amp; ADDRESS(4, MATCH($B32, Attendance_data!$E$3:$BI$3, 0) + 4) &amp; ":" &amp;
               ADDRESS(1000, MATCH($B32, Attendance_data!$E$3:$BI$3, 0) + 4)),
      "P"
    )
    +
    COUNTIFS(
      Attendance_data!$B$4:$B$1000,R$4,
      INDIRECT("Attendance_data!" &amp; ADDRESS(4, MATCH($B32, Attendance_data!$E$3:$BI$3, 0) + 4) &amp; ":" &amp;
               ADDRESS(1000, MATCH($B32, Attendance_data!$E$3:$BI$3, 0) + 4)),
      "A"
    )
  ),"")</f>
        <v/>
      </c>
      <c r="S32" s="18" t="str">
        <f t="array" ref="S32">IFERROR(
  COUNTIFS(Attendance_data!$B$4:$B$1000,S$4,
    INDIRECT("Attendance_data!" &amp; ADDRESS(4, MATCH($B32, Attendance_data!$E$3:$BI$3, 0) + 4) &amp; ":" &amp;
             ADDRESS(1000, MATCH($B32, Attendance_data!$E$3:$BI$3, 0) + 4)),
    "P"
  )
  /
  (
    COUNTIFS(
      Attendance_data!$B$4:$B$1000,S$4,
      INDIRECT("Attendance_data!" &amp; ADDRESS(4, MATCH($B32, Attendance_data!$E$3:$BI$3, 0) + 4) &amp; ":" &amp;
               ADDRESS(1000, MATCH($B32, Attendance_data!$E$3:$BI$3, 0) + 4)),
      "P"
    )
    +
    COUNTIFS(
      Attendance_data!$B$4:$B$1000,S$4,
      INDIRECT("Attendance_data!" &amp; ADDRESS(4, MATCH($B32, Attendance_data!$E$3:$BI$3, 0) + 4) &amp; ":" &amp;
               ADDRESS(1000, MATCH($B32, Attendance_data!$E$3:$BI$3, 0) + 4)),
      "A"
    )
  ),"")</f>
        <v/>
      </c>
      <c r="T32" s="18" t="str">
        <f t="array" ref="T32">IFERROR(
  COUNTIFS(Attendance_data!$B$4:$B$1000,T$4,
    INDIRECT("Attendance_data!" &amp; ADDRESS(4, MATCH($B32, Attendance_data!$E$3:$BI$3, 0) + 4) &amp; ":" &amp;
             ADDRESS(1000, MATCH($B32, Attendance_data!$E$3:$BI$3, 0) + 4)),
    "P"
  )
  /
  (
    COUNTIFS(
      Attendance_data!$B$4:$B$1000,T$4,
      INDIRECT("Attendance_data!" &amp; ADDRESS(4, MATCH($B32, Attendance_data!$E$3:$BI$3, 0) + 4) &amp; ":" &amp;
               ADDRESS(1000, MATCH($B32, Attendance_data!$E$3:$BI$3, 0) + 4)),
      "P"
    )
    +
    COUNTIFS(
      Attendance_data!$B$4:$B$1000,T$4,
      INDIRECT("Attendance_data!" &amp; ADDRESS(4, MATCH($B32, Attendance_data!$E$3:$BI$3, 0) + 4) &amp; ":" &amp;
               ADDRESS(1000, MATCH($B32, Attendance_data!$E$3:$BI$3, 0) + 4)),
      "A"
    )
  ),"")</f>
        <v/>
      </c>
      <c r="U32" s="18" t="str">
        <f t="array" ref="U32">IFERROR(
  COUNTIFS(Attendance_data!$B$4:$B$1000,U$4,
    INDIRECT("Attendance_data!" &amp; ADDRESS(4, MATCH($B32, Attendance_data!$E$3:$BI$3, 0) + 4) &amp; ":" &amp;
             ADDRESS(1000, MATCH($B32, Attendance_data!$E$3:$BI$3, 0) + 4)),
    "P"
  )
  /
  (
    COUNTIFS(
      Attendance_data!$B$4:$B$1000,U$4,
      INDIRECT("Attendance_data!" &amp; ADDRESS(4, MATCH($B32, Attendance_data!$E$3:$BI$3, 0) + 4) &amp; ":" &amp;
               ADDRESS(1000, MATCH($B32, Attendance_data!$E$3:$BI$3, 0) + 4)),
      "P"
    )
    +
    COUNTIFS(
      Attendance_data!$B$4:$B$1000,U$4,
      INDIRECT("Attendance_data!" &amp; ADDRESS(4, MATCH($B32, Attendance_data!$E$3:$BI$3, 0) + 4) &amp; ":" &amp;
               ADDRESS(1000, MATCH($B32, Attendance_data!$E$3:$BI$3, 0) + 4)),
      "A"
    )
  ),"")</f>
        <v/>
      </c>
      <c r="V32" s="18">
        <f t="array" ref="V32">IFERROR(
  COUNTIFS(Attendance_data!$B$4:$B$1000,V$4,
    INDIRECT("Attendance_data!" &amp; ADDRESS(4, MATCH($B32, Attendance_data!$E$3:$BI$3, 0) + 4) &amp; ":" &amp;
             ADDRESS(1000, MATCH($B32, Attendance_data!$E$3:$BI$3, 0) + 4)),
    "P"
  )
  /
  (
    COUNTIFS(
      Attendance_data!$B$4:$B$1000,V$4,
      INDIRECT("Attendance_data!" &amp; ADDRESS(4, MATCH($B32, Attendance_data!$E$3:$BI$3, 0) + 4) &amp; ":" &amp;
               ADDRESS(1000, MATCH($B32, Attendance_data!$E$3:$BI$3, 0) + 4)),
      "P"
    )
    +
    COUNTIFS(
      Attendance_data!$B$4:$B$1000,V$4,
      INDIRECT("Attendance_data!" &amp; ADDRESS(4, MATCH($B32, Attendance_data!$E$3:$BI$3, 0) + 4) &amp; ":" &amp;
               ADDRESS(1000, MATCH($B32, Attendance_data!$E$3:$BI$3, 0) + 4)),
      "A"
    )
  ),"")</f>
        <v>0.7916666667</v>
      </c>
      <c r="W32" s="18">
        <f t="array" ref="W32">IFERROR(
  COUNTIFS(Attendance_data!$B$4:$B$1000,W$4,
    INDIRECT("Attendance_data!" &amp; ADDRESS(4, MATCH($B32, Attendance_data!$E$3:$BI$3, 0) + 4) &amp; ":" &amp;
             ADDRESS(1000, MATCH($B32, Attendance_data!$E$3:$BI$3, 0) + 4)),
    "P"
  )
  /
  (
    COUNTIFS(
      Attendance_data!$B$4:$B$1000,W$4,
      INDIRECT("Attendance_data!" &amp; ADDRESS(4, MATCH($B32, Attendance_data!$E$3:$BI$3, 0) + 4) &amp; ":" &amp;
               ADDRESS(1000, MATCH($B32, Attendance_data!$E$3:$BI$3, 0) + 4)),
      "P"
    )
    +
    COUNTIFS(
      Attendance_data!$B$4:$B$1000,W$4,
      INDIRECT("Attendance_data!" &amp; ADDRESS(4, MATCH($B32, Attendance_data!$E$3:$BI$3, 0) + 4) &amp; ":" &amp;
               ADDRESS(1000, MATCH($B32, Attendance_data!$E$3:$BI$3, 0) + 4)),
      "A"
    )
  ),"")</f>
        <v>0.84</v>
      </c>
      <c r="X32" s="18">
        <f t="array" ref="X32">IFERROR(
  COUNTIFS(Attendance_data!$B$4:$B$1000,X$4,
    INDIRECT("Attendance_data!" &amp; ADDRESS(4, MATCH($B32, Attendance_data!$E$3:$BI$3, 0) + 4) &amp; ":" &amp;
             ADDRESS(1000, MATCH($B32, Attendance_data!$E$3:$BI$3, 0) + 4)),
    "P"
  )
  /
  (
    COUNTIFS(
      Attendance_data!$B$4:$B$1000,X$4,
      INDIRECT("Attendance_data!" &amp; ADDRESS(4, MATCH($B32, Attendance_data!$E$3:$BI$3, 0) + 4) &amp; ":" &amp;
               ADDRESS(1000, MATCH($B32, Attendance_data!$E$3:$BI$3, 0) + 4)),
      "P"
    )
    +
    COUNTIFS(
      Attendance_data!$B$4:$B$1000,X$4,
      INDIRECT("Attendance_data!" &amp; ADDRESS(4, MATCH($B32, Attendance_data!$E$3:$BI$3, 0) + 4) &amp; ":" &amp;
               ADDRESS(1000, MATCH($B32, Attendance_data!$E$3:$BI$3, 0) + 4)),
      "A"
    )
  ),"")</f>
        <v>0.5238095238</v>
      </c>
      <c r="Y32" s="18">
        <f t="array" ref="Y32">IFERROR(
  COUNTIFS(Attendance_data!$B$4:$B$1000,Y$4,
    INDIRECT("Attendance_data!" &amp; ADDRESS(4, MATCH($B32, Attendance_data!$E$3:$BI$3, 0) + 4) &amp; ":" &amp;
             ADDRESS(1000, MATCH($B32, Attendance_data!$E$3:$BI$3, 0) + 4)),
    "P"
  )
  /
  (
    COUNTIFS(
      Attendance_data!$B$4:$B$1000,Y$4,
      INDIRECT("Attendance_data!" &amp; ADDRESS(4, MATCH($B32, Attendance_data!$E$3:$BI$3, 0) + 4) &amp; ":" &amp;
               ADDRESS(1000, MATCH($B32, Attendance_data!$E$3:$BI$3, 0) + 4)),
      "P"
    )
    +
    COUNTIFS(
      Attendance_data!$B$4:$B$1000,Y$4,
      INDIRECT("Attendance_data!" &amp; ADDRESS(4, MATCH($B32, Attendance_data!$E$3:$BI$3, 0) + 4) &amp; ":" &amp;
               ADDRESS(1000, MATCH($B32, Attendance_data!$E$3:$BI$3, 0) + 4)),
      "A"
    )
  ),"")</f>
        <v>0.5</v>
      </c>
      <c r="Z32" s="18">
        <f t="array" ref="Z32">IFERROR(
  COUNTIFS(Attendance_data!$B$4:$B$1000,Z$4,
    INDIRECT("Attendance_data!" &amp; ADDRESS(4, MATCH($B32, Attendance_data!$E$3:$BI$3, 0) + 4) &amp; ":" &amp;
             ADDRESS(1000, MATCH($B32, Attendance_data!$E$3:$BI$3, 0) + 4)),
    "P"
  )
  /
  (
    COUNTIFS(
      Attendance_data!$B$4:$B$1000,Z$4,
      INDIRECT("Attendance_data!" &amp; ADDRESS(4, MATCH($B32, Attendance_data!$E$3:$BI$3, 0) + 4) &amp; ":" &amp;
               ADDRESS(1000, MATCH($B32, Attendance_data!$E$3:$BI$3, 0) + 4)),
      "P"
    )
    +
    COUNTIFS(
      Attendance_data!$B$4:$B$1000,Z$4,
      INDIRECT("Attendance_data!" &amp; ADDRESS(4, MATCH($B32, Attendance_data!$E$3:$BI$3, 0) + 4) &amp; ":" &amp;
               ADDRESS(1000, MATCH($B32, Attendance_data!$E$3:$BI$3, 0) + 4)),
      "A"
    )
  ),"")</f>
        <v>0.7777777778</v>
      </c>
      <c r="AA32" s="18" t="str">
        <f t="array" ref="AA32">IFERROR(
  COUNTIFS(Attendance_data!$B$4:$B$1000,AA$4,
    INDIRECT("Attendance_data!" &amp; ADDRESS(4, MATCH($B32, Attendance_data!$E$3:$BI$3, 0) + 4) &amp; ":" &amp;
             ADDRESS(1000, MATCH($B32, Attendance_data!$E$3:$BI$3, 0) + 4)),
    "P"
  )
  /
  (
    COUNTIFS(
      Attendance_data!$B$4:$B$1000,AA$4,
      INDIRECT("Attendance_data!" &amp; ADDRESS(4, MATCH($B32, Attendance_data!$E$3:$BI$3, 0) + 4) &amp; ":" &amp;
               ADDRESS(1000, MATCH($B32, Attendance_data!$E$3:$BI$3, 0) + 4)),
      "P"
    )
    +
    COUNTIFS(
      Attendance_data!$B$4:$B$1000,AA$4,
      INDIRECT("Attendance_data!" &amp; ADDRESS(4, MATCH($B32, Attendance_data!$E$3:$BI$3, 0) + 4) &amp; ":" &amp;
               ADDRESS(1000, MATCH($B32, Attendance_data!$E$3:$BI$3, 0) + 4)),
      "A"
    )
  ),"")</f>
        <v/>
      </c>
      <c r="AB32" s="19">
        <f t="shared" si="3"/>
        <v>0.6866507937</v>
      </c>
      <c r="AC32" s="1"/>
      <c r="AD32" s="1"/>
      <c r="AE32" s="1"/>
      <c r="AF32" s="1"/>
      <c r="AG32" s="1"/>
      <c r="AH32" s="1"/>
    </row>
    <row r="33">
      <c r="A33" s="14">
        <f t="shared" si="2"/>
        <v>29</v>
      </c>
      <c r="B33" s="21" t="s">
        <v>102</v>
      </c>
      <c r="C33" s="21" t="s">
        <v>103</v>
      </c>
      <c r="D33" s="21" t="s">
        <v>59</v>
      </c>
      <c r="E33" s="21" t="s">
        <v>38</v>
      </c>
      <c r="F33" s="21">
        <v>9.807476874E9</v>
      </c>
      <c r="G33" s="21" t="s">
        <v>104</v>
      </c>
      <c r="H33" s="21">
        <v>2025.0</v>
      </c>
      <c r="I33" s="16" t="s">
        <v>23</v>
      </c>
      <c r="J33" s="1"/>
      <c r="K33" s="1"/>
      <c r="L33" s="1"/>
      <c r="M33" s="17">
        <v>11.0</v>
      </c>
      <c r="N33" s="17">
        <v>17.0</v>
      </c>
      <c r="O33" s="17">
        <v>20.0</v>
      </c>
      <c r="P33" s="18" t="str">
        <f t="array" ref="P33">IFERROR(
  COUNTIFS(Attendance_data!$B$4:$B$1000,P$4,
    INDIRECT("Attendance_data!" &amp; ADDRESS(4, MATCH($B33, Attendance_data!$E$3:$BI$3, 0) + 4) &amp; ":" &amp;
             ADDRESS(1000, MATCH($B33, Attendance_data!$E$3:$BI$3, 0) + 4)),
    "P"
  )
  /
  (
    COUNTIFS(
      Attendance_data!$B$4:$B$1000,P$4,
      INDIRECT("Attendance_data!" &amp; ADDRESS(4, MATCH($B33, Attendance_data!$E$3:$BI$3, 0) + 4) &amp; ":" &amp;
               ADDRESS(1000, MATCH($B33, Attendance_data!$E$3:$BI$3, 0) + 4)),
      "P"
    )
    +
    COUNTIFS(
      Attendance_data!$B$4:$B$1000,P$4,
      INDIRECT("Attendance_data!" &amp; ADDRESS(4, MATCH($B33, Attendance_data!$E$3:$BI$3, 0) + 4) &amp; ":" &amp;
               ADDRESS(1000, MATCH($B33, Attendance_data!$E$3:$BI$3, 0) + 4)),
      "A"
    )
  ),"")</f>
        <v/>
      </c>
      <c r="Q33" s="18" t="str">
        <f t="array" ref="Q33">IFERROR(
  COUNTIFS(Attendance_data!$B$4:$B$1000,Q$4,
    INDIRECT("Attendance_data!" &amp; ADDRESS(4, MATCH($B33, Attendance_data!$E$3:$BI$3, 0) + 4) &amp; ":" &amp;
             ADDRESS(1000, MATCH($B33, Attendance_data!$E$3:$BI$3, 0) + 4)),
    "P"
  )
  /
  (
    COUNTIFS(
      Attendance_data!$B$4:$B$1000,Q$4,
      INDIRECT("Attendance_data!" &amp; ADDRESS(4, MATCH($B33, Attendance_data!$E$3:$BI$3, 0) + 4) &amp; ":" &amp;
               ADDRESS(1000, MATCH($B33, Attendance_data!$E$3:$BI$3, 0) + 4)),
      "P"
    )
    +
    COUNTIFS(
      Attendance_data!$B$4:$B$1000,Q$4,
      INDIRECT("Attendance_data!" &amp; ADDRESS(4, MATCH($B33, Attendance_data!$E$3:$BI$3, 0) + 4) &amp; ":" &amp;
               ADDRESS(1000, MATCH($B33, Attendance_data!$E$3:$BI$3, 0) + 4)),
      "A"
    )
  ),"")</f>
        <v/>
      </c>
      <c r="R33" s="18" t="str">
        <f t="array" ref="R33">IFERROR(
  COUNTIFS(Attendance_data!$B$4:$B$1000,R$4,
    INDIRECT("Attendance_data!" &amp; ADDRESS(4, MATCH($B33, Attendance_data!$E$3:$BI$3, 0) + 4) &amp; ":" &amp;
             ADDRESS(1000, MATCH($B33, Attendance_data!$E$3:$BI$3, 0) + 4)),
    "P"
  )
  /
  (
    COUNTIFS(
      Attendance_data!$B$4:$B$1000,R$4,
      INDIRECT("Attendance_data!" &amp; ADDRESS(4, MATCH($B33, Attendance_data!$E$3:$BI$3, 0) + 4) &amp; ":" &amp;
               ADDRESS(1000, MATCH($B33, Attendance_data!$E$3:$BI$3, 0) + 4)),
      "P"
    )
    +
    COUNTIFS(
      Attendance_data!$B$4:$B$1000,R$4,
      INDIRECT("Attendance_data!" &amp; ADDRESS(4, MATCH($B33, Attendance_data!$E$3:$BI$3, 0) + 4) &amp; ":" &amp;
               ADDRESS(1000, MATCH($B33, Attendance_data!$E$3:$BI$3, 0) + 4)),
      "A"
    )
  ),"")</f>
        <v/>
      </c>
      <c r="S33" s="18" t="str">
        <f t="array" ref="S33">IFERROR(
  COUNTIFS(Attendance_data!$B$4:$B$1000,S$4,
    INDIRECT("Attendance_data!" &amp; ADDRESS(4, MATCH($B33, Attendance_data!$E$3:$BI$3, 0) + 4) &amp; ":" &amp;
             ADDRESS(1000, MATCH($B33, Attendance_data!$E$3:$BI$3, 0) + 4)),
    "P"
  )
  /
  (
    COUNTIFS(
      Attendance_data!$B$4:$B$1000,S$4,
      INDIRECT("Attendance_data!" &amp; ADDRESS(4, MATCH($B33, Attendance_data!$E$3:$BI$3, 0) + 4) &amp; ":" &amp;
               ADDRESS(1000, MATCH($B33, Attendance_data!$E$3:$BI$3, 0) + 4)),
      "P"
    )
    +
    COUNTIFS(
      Attendance_data!$B$4:$B$1000,S$4,
      INDIRECT("Attendance_data!" &amp; ADDRESS(4, MATCH($B33, Attendance_data!$E$3:$BI$3, 0) + 4) &amp; ":" &amp;
               ADDRESS(1000, MATCH($B33, Attendance_data!$E$3:$BI$3, 0) + 4)),
      "A"
    )
  ),"")</f>
        <v/>
      </c>
      <c r="T33" s="18" t="str">
        <f t="array" ref="T33">IFERROR(
  COUNTIFS(Attendance_data!$B$4:$B$1000,T$4,
    INDIRECT("Attendance_data!" &amp; ADDRESS(4, MATCH($B33, Attendance_data!$E$3:$BI$3, 0) + 4) &amp; ":" &amp;
             ADDRESS(1000, MATCH($B33, Attendance_data!$E$3:$BI$3, 0) + 4)),
    "P"
  )
  /
  (
    COUNTIFS(
      Attendance_data!$B$4:$B$1000,T$4,
      INDIRECT("Attendance_data!" &amp; ADDRESS(4, MATCH($B33, Attendance_data!$E$3:$BI$3, 0) + 4) &amp; ":" &amp;
               ADDRESS(1000, MATCH($B33, Attendance_data!$E$3:$BI$3, 0) + 4)),
      "P"
    )
    +
    COUNTIFS(
      Attendance_data!$B$4:$B$1000,T$4,
      INDIRECT("Attendance_data!" &amp; ADDRESS(4, MATCH($B33, Attendance_data!$E$3:$BI$3, 0) + 4) &amp; ":" &amp;
               ADDRESS(1000, MATCH($B33, Attendance_data!$E$3:$BI$3, 0) + 4)),
      "A"
    )
  ),"")</f>
        <v/>
      </c>
      <c r="U33" s="18" t="str">
        <f t="array" ref="U33">IFERROR(
  COUNTIFS(Attendance_data!$B$4:$B$1000,U$4,
    INDIRECT("Attendance_data!" &amp; ADDRESS(4, MATCH($B33, Attendance_data!$E$3:$BI$3, 0) + 4) &amp; ":" &amp;
             ADDRESS(1000, MATCH($B33, Attendance_data!$E$3:$BI$3, 0) + 4)),
    "P"
  )
  /
  (
    COUNTIFS(
      Attendance_data!$B$4:$B$1000,U$4,
      INDIRECT("Attendance_data!" &amp; ADDRESS(4, MATCH($B33, Attendance_data!$E$3:$BI$3, 0) + 4) &amp; ":" &amp;
               ADDRESS(1000, MATCH($B33, Attendance_data!$E$3:$BI$3, 0) + 4)),
      "P"
    )
    +
    COUNTIFS(
      Attendance_data!$B$4:$B$1000,U$4,
      INDIRECT("Attendance_data!" &amp; ADDRESS(4, MATCH($B33, Attendance_data!$E$3:$BI$3, 0) + 4) &amp; ":" &amp;
               ADDRESS(1000, MATCH($B33, Attendance_data!$E$3:$BI$3, 0) + 4)),
      "A"
    )
  ),"")</f>
        <v/>
      </c>
      <c r="V33" s="18">
        <f t="array" ref="V33">IFERROR(
  COUNTIFS(Attendance_data!$B$4:$B$1000,V$4,
    INDIRECT("Attendance_data!" &amp; ADDRESS(4, MATCH($B33, Attendance_data!$E$3:$BI$3, 0) + 4) &amp; ":" &amp;
             ADDRESS(1000, MATCH($B33, Attendance_data!$E$3:$BI$3, 0) + 4)),
    "P"
  )
  /
  (
    COUNTIFS(
      Attendance_data!$B$4:$B$1000,V$4,
      INDIRECT("Attendance_data!" &amp; ADDRESS(4, MATCH($B33, Attendance_data!$E$3:$BI$3, 0) + 4) &amp; ":" &amp;
               ADDRESS(1000, MATCH($B33, Attendance_data!$E$3:$BI$3, 0) + 4)),
      "P"
    )
    +
    COUNTIFS(
      Attendance_data!$B$4:$B$1000,V$4,
      INDIRECT("Attendance_data!" &amp; ADDRESS(4, MATCH($B33, Attendance_data!$E$3:$BI$3, 0) + 4) &amp; ":" &amp;
               ADDRESS(1000, MATCH($B33, Attendance_data!$E$3:$BI$3, 0) + 4)),
      "A"
    )
  ),"")</f>
        <v>0.75</v>
      </c>
      <c r="W33" s="18">
        <f t="array" ref="W33">IFERROR(
  COUNTIFS(Attendance_data!$B$4:$B$1000,W$4,
    INDIRECT("Attendance_data!" &amp; ADDRESS(4, MATCH($B33, Attendance_data!$E$3:$BI$3, 0) + 4) &amp; ":" &amp;
             ADDRESS(1000, MATCH($B33, Attendance_data!$E$3:$BI$3, 0) + 4)),
    "P"
  )
  /
  (
    COUNTIFS(
      Attendance_data!$B$4:$B$1000,W$4,
      INDIRECT("Attendance_data!" &amp; ADDRESS(4, MATCH($B33, Attendance_data!$E$3:$BI$3, 0) + 4) &amp; ":" &amp;
               ADDRESS(1000, MATCH($B33, Attendance_data!$E$3:$BI$3, 0) + 4)),
      "P"
    )
    +
    COUNTIFS(
      Attendance_data!$B$4:$B$1000,W$4,
      INDIRECT("Attendance_data!" &amp; ADDRESS(4, MATCH($B33, Attendance_data!$E$3:$BI$3, 0) + 4) &amp; ":" &amp;
               ADDRESS(1000, MATCH($B33, Attendance_data!$E$3:$BI$3, 0) + 4)),
      "A"
    )
  ),"")</f>
        <v>0.84</v>
      </c>
      <c r="X33" s="18">
        <f t="array" ref="X33">IFERROR(
  COUNTIFS(Attendance_data!$B$4:$B$1000,X$4,
    INDIRECT("Attendance_data!" &amp; ADDRESS(4, MATCH($B33, Attendance_data!$E$3:$BI$3, 0) + 4) &amp; ":" &amp;
             ADDRESS(1000, MATCH($B33, Attendance_data!$E$3:$BI$3, 0) + 4)),
    "P"
  )
  /
  (
    COUNTIFS(
      Attendance_data!$B$4:$B$1000,X$4,
      INDIRECT("Attendance_data!" &amp; ADDRESS(4, MATCH($B33, Attendance_data!$E$3:$BI$3, 0) + 4) &amp; ":" &amp;
               ADDRESS(1000, MATCH($B33, Attendance_data!$E$3:$BI$3, 0) + 4)),
      "P"
    )
    +
    COUNTIFS(
      Attendance_data!$B$4:$B$1000,X$4,
      INDIRECT("Attendance_data!" &amp; ADDRESS(4, MATCH($B33, Attendance_data!$E$3:$BI$3, 0) + 4) &amp; ":" &amp;
               ADDRESS(1000, MATCH($B33, Attendance_data!$E$3:$BI$3, 0) + 4)),
      "A"
    )
  ),"")</f>
        <v>0.5238095238</v>
      </c>
      <c r="Y33" s="18">
        <f t="array" ref="Y33">IFERROR(
  COUNTIFS(Attendance_data!$B$4:$B$1000,Y$4,
    INDIRECT("Attendance_data!" &amp; ADDRESS(4, MATCH($B33, Attendance_data!$E$3:$BI$3, 0) + 4) &amp; ":" &amp;
             ADDRESS(1000, MATCH($B33, Attendance_data!$E$3:$BI$3, 0) + 4)),
    "P"
  )
  /
  (
    COUNTIFS(
      Attendance_data!$B$4:$B$1000,Y$4,
      INDIRECT("Attendance_data!" &amp; ADDRESS(4, MATCH($B33, Attendance_data!$E$3:$BI$3, 0) + 4) &amp; ":" &amp;
               ADDRESS(1000, MATCH($B33, Attendance_data!$E$3:$BI$3, 0) + 4)),
      "P"
    )
    +
    COUNTIFS(
      Attendance_data!$B$4:$B$1000,Y$4,
      INDIRECT("Attendance_data!" &amp; ADDRESS(4, MATCH($B33, Attendance_data!$E$3:$BI$3, 0) + 4) &amp; ":" &amp;
               ADDRESS(1000, MATCH($B33, Attendance_data!$E$3:$BI$3, 0) + 4)),
      "A"
    )
  ),"")</f>
        <v>0.5</v>
      </c>
      <c r="Z33" s="18">
        <f t="array" ref="Z33">IFERROR(
  COUNTIFS(Attendance_data!$B$4:$B$1000,Z$4,
    INDIRECT("Attendance_data!" &amp; ADDRESS(4, MATCH($B33, Attendance_data!$E$3:$BI$3, 0) + 4) &amp; ":" &amp;
             ADDRESS(1000, MATCH($B33, Attendance_data!$E$3:$BI$3, 0) + 4)),
    "P"
  )
  /
  (
    COUNTIFS(
      Attendance_data!$B$4:$B$1000,Z$4,
      INDIRECT("Attendance_data!" &amp; ADDRESS(4, MATCH($B33, Attendance_data!$E$3:$BI$3, 0) + 4) &amp; ":" &amp;
               ADDRESS(1000, MATCH($B33, Attendance_data!$E$3:$BI$3, 0) + 4)),
      "P"
    )
    +
    COUNTIFS(
      Attendance_data!$B$4:$B$1000,Z$4,
      INDIRECT("Attendance_data!" &amp; ADDRESS(4, MATCH($B33, Attendance_data!$E$3:$BI$3, 0) + 4) &amp; ":" &amp;
               ADDRESS(1000, MATCH($B33, Attendance_data!$E$3:$BI$3, 0) + 4)),
      "A"
    )
  ),"")</f>
        <v>0.7777777778</v>
      </c>
      <c r="AA33" s="18" t="str">
        <f t="array" ref="AA33">IFERROR(
  COUNTIFS(Attendance_data!$B$4:$B$1000,AA$4,
    INDIRECT("Attendance_data!" &amp; ADDRESS(4, MATCH($B33, Attendance_data!$E$3:$BI$3, 0) + 4) &amp; ":" &amp;
             ADDRESS(1000, MATCH($B33, Attendance_data!$E$3:$BI$3, 0) + 4)),
    "P"
  )
  /
  (
    COUNTIFS(
      Attendance_data!$B$4:$B$1000,AA$4,
      INDIRECT("Attendance_data!" &amp; ADDRESS(4, MATCH($B33, Attendance_data!$E$3:$BI$3, 0) + 4) &amp; ":" &amp;
               ADDRESS(1000, MATCH($B33, Attendance_data!$E$3:$BI$3, 0) + 4)),
      "P"
    )
    +
    COUNTIFS(
      Attendance_data!$B$4:$B$1000,AA$4,
      INDIRECT("Attendance_data!" &amp; ADDRESS(4, MATCH($B33, Attendance_data!$E$3:$BI$3, 0) + 4) &amp; ":" &amp;
               ADDRESS(1000, MATCH($B33, Attendance_data!$E$3:$BI$3, 0) + 4)),
      "A"
    )
  ),"")</f>
        <v/>
      </c>
      <c r="AB33" s="19">
        <f t="shared" si="3"/>
        <v>0.6783174603</v>
      </c>
      <c r="AC33" s="1"/>
      <c r="AD33" s="1"/>
      <c r="AE33" s="1"/>
      <c r="AF33" s="1"/>
      <c r="AG33" s="1"/>
      <c r="AH33" s="1"/>
    </row>
    <row r="34">
      <c r="A34" s="14">
        <f t="shared" si="2"/>
        <v>30</v>
      </c>
      <c r="B34" s="21" t="s">
        <v>105</v>
      </c>
      <c r="C34" s="21" t="s">
        <v>106</v>
      </c>
      <c r="D34" s="21" t="s">
        <v>26</v>
      </c>
      <c r="E34" s="21" t="s">
        <v>21</v>
      </c>
      <c r="F34" s="21">
        <v>9.807476874E9</v>
      </c>
      <c r="G34" s="21" t="s">
        <v>107</v>
      </c>
      <c r="H34" s="21">
        <v>2025.0</v>
      </c>
      <c r="I34" s="16" t="s">
        <v>23</v>
      </c>
      <c r="J34" s="1"/>
      <c r="K34" s="1"/>
      <c r="L34" s="1"/>
      <c r="M34" s="17">
        <v>21.0</v>
      </c>
      <c r="N34" s="17">
        <v>21.0</v>
      </c>
      <c r="O34" s="17">
        <v>24.0</v>
      </c>
      <c r="P34" s="18" t="str">
        <f t="array" ref="P34">IFERROR(
  COUNTIFS(Attendance_data!$B$4:$B$1000,P$4,
    INDIRECT("Attendance_data!" &amp; ADDRESS(4, MATCH($B34, Attendance_data!$E$3:$BI$3, 0) + 4) &amp; ":" &amp;
             ADDRESS(1000, MATCH($B34, Attendance_data!$E$3:$BI$3, 0) + 4)),
    "P"
  )
  /
  (
    COUNTIFS(
      Attendance_data!$B$4:$B$1000,P$4,
      INDIRECT("Attendance_data!" &amp; ADDRESS(4, MATCH($B34, Attendance_data!$E$3:$BI$3, 0) + 4) &amp; ":" &amp;
               ADDRESS(1000, MATCH($B34, Attendance_data!$E$3:$BI$3, 0) + 4)),
      "P"
    )
    +
    COUNTIFS(
      Attendance_data!$B$4:$B$1000,P$4,
      INDIRECT("Attendance_data!" &amp; ADDRESS(4, MATCH($B34, Attendance_data!$E$3:$BI$3, 0) + 4) &amp; ":" &amp;
               ADDRESS(1000, MATCH($B34, Attendance_data!$E$3:$BI$3, 0) + 4)),
      "A"
    )
  ),"")</f>
        <v/>
      </c>
      <c r="Q34" s="18" t="str">
        <f t="array" ref="Q34">IFERROR(
  COUNTIFS(Attendance_data!$B$4:$B$1000,Q$4,
    INDIRECT("Attendance_data!" &amp; ADDRESS(4, MATCH($B34, Attendance_data!$E$3:$BI$3, 0) + 4) &amp; ":" &amp;
             ADDRESS(1000, MATCH($B34, Attendance_data!$E$3:$BI$3, 0) + 4)),
    "P"
  )
  /
  (
    COUNTIFS(
      Attendance_data!$B$4:$B$1000,Q$4,
      INDIRECT("Attendance_data!" &amp; ADDRESS(4, MATCH($B34, Attendance_data!$E$3:$BI$3, 0) + 4) &amp; ":" &amp;
               ADDRESS(1000, MATCH($B34, Attendance_data!$E$3:$BI$3, 0) + 4)),
      "P"
    )
    +
    COUNTIFS(
      Attendance_data!$B$4:$B$1000,Q$4,
      INDIRECT("Attendance_data!" &amp; ADDRESS(4, MATCH($B34, Attendance_data!$E$3:$BI$3, 0) + 4) &amp; ":" &amp;
               ADDRESS(1000, MATCH($B34, Attendance_data!$E$3:$BI$3, 0) + 4)),
      "A"
    )
  ),"")</f>
        <v/>
      </c>
      <c r="R34" s="18" t="str">
        <f t="array" ref="R34">IFERROR(
  COUNTIFS(Attendance_data!$B$4:$B$1000,R$4,
    INDIRECT("Attendance_data!" &amp; ADDRESS(4, MATCH($B34, Attendance_data!$E$3:$BI$3, 0) + 4) &amp; ":" &amp;
             ADDRESS(1000, MATCH($B34, Attendance_data!$E$3:$BI$3, 0) + 4)),
    "P"
  )
  /
  (
    COUNTIFS(
      Attendance_data!$B$4:$B$1000,R$4,
      INDIRECT("Attendance_data!" &amp; ADDRESS(4, MATCH($B34, Attendance_data!$E$3:$BI$3, 0) + 4) &amp; ":" &amp;
               ADDRESS(1000, MATCH($B34, Attendance_data!$E$3:$BI$3, 0) + 4)),
      "P"
    )
    +
    COUNTIFS(
      Attendance_data!$B$4:$B$1000,R$4,
      INDIRECT("Attendance_data!" &amp; ADDRESS(4, MATCH($B34, Attendance_data!$E$3:$BI$3, 0) + 4) &amp; ":" &amp;
               ADDRESS(1000, MATCH($B34, Attendance_data!$E$3:$BI$3, 0) + 4)),
      "A"
    )
  ),"")</f>
        <v/>
      </c>
      <c r="S34" s="18" t="str">
        <f t="array" ref="S34">IFERROR(
  COUNTIFS(Attendance_data!$B$4:$B$1000,S$4,
    INDIRECT("Attendance_data!" &amp; ADDRESS(4, MATCH($B34, Attendance_data!$E$3:$BI$3, 0) + 4) &amp; ":" &amp;
             ADDRESS(1000, MATCH($B34, Attendance_data!$E$3:$BI$3, 0) + 4)),
    "P"
  )
  /
  (
    COUNTIFS(
      Attendance_data!$B$4:$B$1000,S$4,
      INDIRECT("Attendance_data!" &amp; ADDRESS(4, MATCH($B34, Attendance_data!$E$3:$BI$3, 0) + 4) &amp; ":" &amp;
               ADDRESS(1000, MATCH($B34, Attendance_data!$E$3:$BI$3, 0) + 4)),
      "P"
    )
    +
    COUNTIFS(
      Attendance_data!$B$4:$B$1000,S$4,
      INDIRECT("Attendance_data!" &amp; ADDRESS(4, MATCH($B34, Attendance_data!$E$3:$BI$3, 0) + 4) &amp; ":" &amp;
               ADDRESS(1000, MATCH($B34, Attendance_data!$E$3:$BI$3, 0) + 4)),
      "A"
    )
  ),"")</f>
        <v/>
      </c>
      <c r="T34" s="18" t="str">
        <f t="array" ref="T34">IFERROR(
  COUNTIFS(Attendance_data!$B$4:$B$1000,T$4,
    INDIRECT("Attendance_data!" &amp; ADDRESS(4, MATCH($B34, Attendance_data!$E$3:$BI$3, 0) + 4) &amp; ":" &amp;
             ADDRESS(1000, MATCH($B34, Attendance_data!$E$3:$BI$3, 0) + 4)),
    "P"
  )
  /
  (
    COUNTIFS(
      Attendance_data!$B$4:$B$1000,T$4,
      INDIRECT("Attendance_data!" &amp; ADDRESS(4, MATCH($B34, Attendance_data!$E$3:$BI$3, 0) + 4) &amp; ":" &amp;
               ADDRESS(1000, MATCH($B34, Attendance_data!$E$3:$BI$3, 0) + 4)),
      "P"
    )
    +
    COUNTIFS(
      Attendance_data!$B$4:$B$1000,T$4,
      INDIRECT("Attendance_data!" &amp; ADDRESS(4, MATCH($B34, Attendance_data!$E$3:$BI$3, 0) + 4) &amp; ":" &amp;
               ADDRESS(1000, MATCH($B34, Attendance_data!$E$3:$BI$3, 0) + 4)),
      "A"
    )
  ),"")</f>
        <v/>
      </c>
      <c r="U34" s="18">
        <f t="array" ref="U34">IFERROR(
  COUNTIFS(Attendance_data!$B$4:$B$1000,U$4,
    INDIRECT("Attendance_data!" &amp; ADDRESS(4, MATCH($B34, Attendance_data!$E$3:$BI$3, 0) + 4) &amp; ":" &amp;
             ADDRESS(1000, MATCH($B34, Attendance_data!$E$3:$BI$3, 0) + 4)),
    "P"
  )
  /
  (
    COUNTIFS(
      Attendance_data!$B$4:$B$1000,U$4,
      INDIRECT("Attendance_data!" &amp; ADDRESS(4, MATCH($B34, Attendance_data!$E$3:$BI$3, 0) + 4) &amp; ":" &amp;
               ADDRESS(1000, MATCH($B34, Attendance_data!$E$3:$BI$3, 0) + 4)),
      "P"
    )
    +
    COUNTIFS(
      Attendance_data!$B$4:$B$1000,U$4,
      INDIRECT("Attendance_data!" &amp; ADDRESS(4, MATCH($B34, Attendance_data!$E$3:$BI$3, 0) + 4) &amp; ":" &amp;
               ADDRESS(1000, MATCH($B34, Attendance_data!$E$3:$BI$3, 0) + 4)),
      "A"
    )
  ),"")</f>
        <v>0.84</v>
      </c>
      <c r="V34" s="18">
        <f t="array" ref="V34">IFERROR(
  COUNTIFS(Attendance_data!$B$4:$B$1000,V$4,
    INDIRECT("Attendance_data!" &amp; ADDRESS(4, MATCH($B34, Attendance_data!$E$3:$BI$3, 0) + 4) &amp; ":" &amp;
             ADDRESS(1000, MATCH($B34, Attendance_data!$E$3:$BI$3, 0) + 4)),
    "P"
  )
  /
  (
    COUNTIFS(
      Attendance_data!$B$4:$B$1000,V$4,
      INDIRECT("Attendance_data!" &amp; ADDRESS(4, MATCH($B34, Attendance_data!$E$3:$BI$3, 0) + 4) &amp; ":" &amp;
               ADDRESS(1000, MATCH($B34, Attendance_data!$E$3:$BI$3, 0) + 4)),
      "P"
    )
    +
    COUNTIFS(
      Attendance_data!$B$4:$B$1000,V$4,
      INDIRECT("Attendance_data!" &amp; ADDRESS(4, MATCH($B34, Attendance_data!$E$3:$BI$3, 0) + 4) &amp; ":" &amp;
               ADDRESS(1000, MATCH($B34, Attendance_data!$E$3:$BI$3, 0) + 4)),
      "A"
    )
  ),"")</f>
        <v>0.84</v>
      </c>
      <c r="W34" s="18">
        <f t="array" ref="W34">IFERROR(
  COUNTIFS(Attendance_data!$B$4:$B$1000,W$4,
    INDIRECT("Attendance_data!" &amp; ADDRESS(4, MATCH($B34, Attendance_data!$E$3:$BI$3, 0) + 4) &amp; ":" &amp;
             ADDRESS(1000, MATCH($B34, Attendance_data!$E$3:$BI$3, 0) + 4)),
    "P"
  )
  /
  (
    COUNTIFS(
      Attendance_data!$B$4:$B$1000,W$4,
      INDIRECT("Attendance_data!" &amp; ADDRESS(4, MATCH($B34, Attendance_data!$E$3:$BI$3, 0) + 4) &amp; ":" &amp;
               ADDRESS(1000, MATCH($B34, Attendance_data!$E$3:$BI$3, 0) + 4)),
      "P"
    )
    +
    COUNTIFS(
      Attendance_data!$B$4:$B$1000,W$4,
      INDIRECT("Attendance_data!" &amp; ADDRESS(4, MATCH($B34, Attendance_data!$E$3:$BI$3, 0) + 4) &amp; ":" &amp;
               ADDRESS(1000, MATCH($B34, Attendance_data!$E$3:$BI$3, 0) + 4)),
      "A"
    )
  ),"")</f>
        <v>0.76</v>
      </c>
      <c r="X34" s="18">
        <f t="array" ref="X34">IFERROR(
  COUNTIFS(Attendance_data!$B$4:$B$1000,X$4,
    INDIRECT("Attendance_data!" &amp; ADDRESS(4, MATCH($B34, Attendance_data!$E$3:$BI$3, 0) + 4) &amp; ":" &amp;
             ADDRESS(1000, MATCH($B34, Attendance_data!$E$3:$BI$3, 0) + 4)),
    "P"
  )
  /
  (
    COUNTIFS(
      Attendance_data!$B$4:$B$1000,X$4,
      INDIRECT("Attendance_data!" &amp; ADDRESS(4, MATCH($B34, Attendance_data!$E$3:$BI$3, 0) + 4) &amp; ":" &amp;
               ADDRESS(1000, MATCH($B34, Attendance_data!$E$3:$BI$3, 0) + 4)),
      "P"
    )
    +
    COUNTIFS(
      Attendance_data!$B$4:$B$1000,X$4,
      INDIRECT("Attendance_data!" &amp; ADDRESS(4, MATCH($B34, Attendance_data!$E$3:$BI$3, 0) + 4) &amp; ":" &amp;
               ADDRESS(1000, MATCH($B34, Attendance_data!$E$3:$BI$3, 0) + 4)),
      "A"
    )
  ),"")</f>
        <v>0.5238095238</v>
      </c>
      <c r="Y34" s="18">
        <f t="array" ref="Y34">IFERROR(
  COUNTIFS(Attendance_data!$B$4:$B$1000,Y$4,
    INDIRECT("Attendance_data!" &amp; ADDRESS(4, MATCH($B34, Attendance_data!$E$3:$BI$3, 0) + 4) &amp; ":" &amp;
             ADDRESS(1000, MATCH($B34, Attendance_data!$E$3:$BI$3, 0) + 4)),
    "P"
  )
  /
  (
    COUNTIFS(
      Attendance_data!$B$4:$B$1000,Y$4,
      INDIRECT("Attendance_data!" &amp; ADDRESS(4, MATCH($B34, Attendance_data!$E$3:$BI$3, 0) + 4) &amp; ":" &amp;
               ADDRESS(1000, MATCH($B34, Attendance_data!$E$3:$BI$3, 0) + 4)),
      "P"
    )
    +
    COUNTIFS(
      Attendance_data!$B$4:$B$1000,Y$4,
      INDIRECT("Attendance_data!" &amp; ADDRESS(4, MATCH($B34, Attendance_data!$E$3:$BI$3, 0) + 4) &amp; ":" &amp;
               ADDRESS(1000, MATCH($B34, Attendance_data!$E$3:$BI$3, 0) + 4)),
      "A"
    )
  ),"")</f>
        <v>0.5</v>
      </c>
      <c r="Z34" s="18">
        <f t="array" ref="Z34">IFERROR(
  COUNTIFS(Attendance_data!$B$4:$B$1000,Z$4,
    INDIRECT("Attendance_data!" &amp; ADDRESS(4, MATCH($B34, Attendance_data!$E$3:$BI$3, 0) + 4) &amp; ":" &amp;
             ADDRESS(1000, MATCH($B34, Attendance_data!$E$3:$BI$3, 0) + 4)),
    "P"
  )
  /
  (
    COUNTIFS(
      Attendance_data!$B$4:$B$1000,Z$4,
      INDIRECT("Attendance_data!" &amp; ADDRESS(4, MATCH($B34, Attendance_data!$E$3:$BI$3, 0) + 4) &amp; ":" &amp;
               ADDRESS(1000, MATCH($B34, Attendance_data!$E$3:$BI$3, 0) + 4)),
      "P"
    )
    +
    COUNTIFS(
      Attendance_data!$B$4:$B$1000,Z$4,
      INDIRECT("Attendance_data!" &amp; ADDRESS(4, MATCH($B34, Attendance_data!$E$3:$BI$3, 0) + 4) &amp; ":" &amp;
               ADDRESS(1000, MATCH($B34, Attendance_data!$E$3:$BI$3, 0) + 4)),
      "A"
    )
  ),"")</f>
        <v>0.7777777778</v>
      </c>
      <c r="AA34" s="18" t="str">
        <f t="array" ref="AA34">IFERROR(
  COUNTIFS(Attendance_data!$B$4:$B$1000,AA$4,
    INDIRECT("Attendance_data!" &amp; ADDRESS(4, MATCH($B34, Attendance_data!$E$3:$BI$3, 0) + 4) &amp; ":" &amp;
             ADDRESS(1000, MATCH($B34, Attendance_data!$E$3:$BI$3, 0) + 4)),
    "P"
  )
  /
  (
    COUNTIFS(
      Attendance_data!$B$4:$B$1000,AA$4,
      INDIRECT("Attendance_data!" &amp; ADDRESS(4, MATCH($B34, Attendance_data!$E$3:$BI$3, 0) + 4) &amp; ":" &amp;
               ADDRESS(1000, MATCH($B34, Attendance_data!$E$3:$BI$3, 0) + 4)),
      "P"
    )
    +
    COUNTIFS(
      Attendance_data!$B$4:$B$1000,AA$4,
      INDIRECT("Attendance_data!" &amp; ADDRESS(4, MATCH($B34, Attendance_data!$E$3:$BI$3, 0) + 4) &amp; ":" &amp;
               ADDRESS(1000, MATCH($B34, Attendance_data!$E$3:$BI$3, 0) + 4)),
      "A"
    )
  ),"")</f>
        <v/>
      </c>
      <c r="AB34" s="19">
        <f t="shared" si="3"/>
        <v>0.7069312169</v>
      </c>
      <c r="AC34" s="1"/>
      <c r="AD34" s="1"/>
      <c r="AE34" s="1"/>
      <c r="AF34" s="1"/>
      <c r="AG34" s="1"/>
      <c r="AH34" s="1"/>
    </row>
    <row r="35">
      <c r="A35" s="14">
        <f t="shared" si="2"/>
        <v>31</v>
      </c>
      <c r="B35" s="22"/>
      <c r="C35" s="22"/>
      <c r="D35" s="23"/>
      <c r="E35" s="23"/>
      <c r="F35" s="23"/>
      <c r="G35" s="23"/>
      <c r="H35" s="23"/>
      <c r="I35" s="2"/>
      <c r="J35" s="1"/>
      <c r="K35" s="1"/>
      <c r="L35" s="1"/>
      <c r="M35" s="1"/>
      <c r="N35" s="1"/>
      <c r="O35" s="1"/>
      <c r="P35" s="18" t="str">
        <f t="array" ref="P35">IFERROR(
  COUNTIFS(Attendance_data!$B$4:$B$1000,P$4,
    INDIRECT("Attendance_data!" &amp; ADDRESS(4, MATCH($B35, Attendance_data!$E$3:$BI$3, 0) + 4) &amp; ":" &amp;
             ADDRESS(1000, MATCH($B35, Attendance_data!$E$3:$BI$3, 0) + 4)),
    "P"
  )
  /
  (
    COUNTIFS(
      Attendance_data!$B$4:$B$1000,P$4,
      INDIRECT("Attendance_data!" &amp; ADDRESS(4, MATCH($B35, Attendance_data!$E$3:$BI$3, 0) + 4) &amp; ":" &amp;
               ADDRESS(1000, MATCH($B35, Attendance_data!$E$3:$BI$3, 0) + 4)),
      "P"
    )
    +
    COUNTIFS(
      Attendance_data!$B$4:$B$1000,P$4,
      INDIRECT("Attendance_data!" &amp; ADDRESS(4, MATCH($B35, Attendance_data!$E$3:$BI$3, 0) + 4) &amp; ":" &amp;
               ADDRESS(1000, MATCH($B35, Attendance_data!$E$3:$BI$3, 0) + 4)),
      "A"
    )
  ),"")</f>
        <v/>
      </c>
      <c r="Q35" s="18" t="str">
        <f t="array" ref="Q35">IFERROR(
  COUNTIFS(Attendance_data!$B$4:$B$1000,Q$4,
    INDIRECT("Attendance_data!" &amp; ADDRESS(4, MATCH($B35, Attendance_data!$E$3:$BI$3, 0) + 4) &amp; ":" &amp;
             ADDRESS(1000, MATCH($B35, Attendance_data!$E$3:$BI$3, 0) + 4)),
    "P"
  )
  /
  (
    COUNTIFS(
      Attendance_data!$B$4:$B$1000,Q$4,
      INDIRECT("Attendance_data!" &amp; ADDRESS(4, MATCH($B35, Attendance_data!$E$3:$BI$3, 0) + 4) &amp; ":" &amp;
               ADDRESS(1000, MATCH($B35, Attendance_data!$E$3:$BI$3, 0) + 4)),
      "P"
    )
    +
    COUNTIFS(
      Attendance_data!$B$4:$B$1000,Q$4,
      INDIRECT("Attendance_data!" &amp; ADDRESS(4, MATCH($B35, Attendance_data!$E$3:$BI$3, 0) + 4) &amp; ":" &amp;
               ADDRESS(1000, MATCH($B35, Attendance_data!$E$3:$BI$3, 0) + 4)),
      "A"
    )
  ),"")</f>
        <v/>
      </c>
      <c r="R35" s="18" t="str">
        <f t="array" ref="R35">IFERROR(
  COUNTIFS(Attendance_data!$B$4:$B$1000,R$4,
    INDIRECT("Attendance_data!" &amp; ADDRESS(4, MATCH($B35, Attendance_data!$E$3:$BI$3, 0) + 4) &amp; ":" &amp;
             ADDRESS(1000, MATCH($B35, Attendance_data!$E$3:$BI$3, 0) + 4)),
    "P"
  )
  /
  (
    COUNTIFS(
      Attendance_data!$B$4:$B$1000,R$4,
      INDIRECT("Attendance_data!" &amp; ADDRESS(4, MATCH($B35, Attendance_data!$E$3:$BI$3, 0) + 4) &amp; ":" &amp;
               ADDRESS(1000, MATCH($B35, Attendance_data!$E$3:$BI$3, 0) + 4)),
      "P"
    )
    +
    COUNTIFS(
      Attendance_data!$B$4:$B$1000,R$4,
      INDIRECT("Attendance_data!" &amp; ADDRESS(4, MATCH($B35, Attendance_data!$E$3:$BI$3, 0) + 4) &amp; ":" &amp;
               ADDRESS(1000, MATCH($B35, Attendance_data!$E$3:$BI$3, 0) + 4)),
      "A"
    )
  ),"")</f>
        <v/>
      </c>
      <c r="S35" s="18" t="str">
        <f t="array" ref="S35">IFERROR(
  COUNTIFS(Attendance_data!$B$4:$B$1000,S$4,
    INDIRECT("Attendance_data!" &amp; ADDRESS(4, MATCH($B35, Attendance_data!$E$3:$BI$3, 0) + 4) &amp; ":" &amp;
             ADDRESS(1000, MATCH($B35, Attendance_data!$E$3:$BI$3, 0) + 4)),
    "P"
  )
  /
  (
    COUNTIFS(
      Attendance_data!$B$4:$B$1000,S$4,
      INDIRECT("Attendance_data!" &amp; ADDRESS(4, MATCH($B35, Attendance_data!$E$3:$BI$3, 0) + 4) &amp; ":" &amp;
               ADDRESS(1000, MATCH($B35, Attendance_data!$E$3:$BI$3, 0) + 4)),
      "P"
    )
    +
    COUNTIFS(
      Attendance_data!$B$4:$B$1000,S$4,
      INDIRECT("Attendance_data!" &amp; ADDRESS(4, MATCH($B35, Attendance_data!$E$3:$BI$3, 0) + 4) &amp; ":" &amp;
               ADDRESS(1000, MATCH($B35, Attendance_data!$E$3:$BI$3, 0) + 4)),
      "A"
    )
  ),"")</f>
        <v/>
      </c>
      <c r="T35" s="18" t="str">
        <f t="array" ref="T35">IFERROR(
  COUNTIFS(Attendance_data!$B$4:$B$1000,T$4,
    INDIRECT("Attendance_data!" &amp; ADDRESS(4, MATCH($B35, Attendance_data!$E$3:$BI$3, 0) + 4) &amp; ":" &amp;
             ADDRESS(1000, MATCH($B35, Attendance_data!$E$3:$BI$3, 0) + 4)),
    "P"
  )
  /
  (
    COUNTIFS(
      Attendance_data!$B$4:$B$1000,T$4,
      INDIRECT("Attendance_data!" &amp; ADDRESS(4, MATCH($B35, Attendance_data!$E$3:$BI$3, 0) + 4) &amp; ":" &amp;
               ADDRESS(1000, MATCH($B35, Attendance_data!$E$3:$BI$3, 0) + 4)),
      "P"
    )
    +
    COUNTIFS(
      Attendance_data!$B$4:$B$1000,T$4,
      INDIRECT("Attendance_data!" &amp; ADDRESS(4, MATCH($B35, Attendance_data!$E$3:$BI$3, 0) + 4) &amp; ":" &amp;
               ADDRESS(1000, MATCH($B35, Attendance_data!$E$3:$BI$3, 0) + 4)),
      "A"
    )
  ),"")</f>
        <v/>
      </c>
      <c r="U35" s="18" t="str">
        <f t="array" ref="U35">IFERROR(
  COUNTIFS(Attendance_data!$B$4:$B$1000,U$4,
    INDIRECT("Attendance_data!" &amp; ADDRESS(4, MATCH($B35, Attendance_data!$E$3:$BI$3, 0) + 4) &amp; ":" &amp;
             ADDRESS(1000, MATCH($B35, Attendance_data!$E$3:$BI$3, 0) + 4)),
    "P"
  )
  /
  (
    COUNTIFS(
      Attendance_data!$B$4:$B$1000,U$4,
      INDIRECT("Attendance_data!" &amp; ADDRESS(4, MATCH($B35, Attendance_data!$E$3:$BI$3, 0) + 4) &amp; ":" &amp;
               ADDRESS(1000, MATCH($B35, Attendance_data!$E$3:$BI$3, 0) + 4)),
      "P"
    )
    +
    COUNTIFS(
      Attendance_data!$B$4:$B$1000,U$4,
      INDIRECT("Attendance_data!" &amp; ADDRESS(4, MATCH($B35, Attendance_data!$E$3:$BI$3, 0) + 4) &amp; ":" &amp;
               ADDRESS(1000, MATCH($B35, Attendance_data!$E$3:$BI$3, 0) + 4)),
      "A"
    )
  ),"")</f>
        <v/>
      </c>
      <c r="V35" s="18" t="str">
        <f t="array" ref="V35">IFERROR(
  COUNTIFS(Attendance_data!$B$4:$B$1000,V$4,
    INDIRECT("Attendance_data!" &amp; ADDRESS(4, MATCH($B35, Attendance_data!$E$3:$BI$3, 0) + 4) &amp; ":" &amp;
             ADDRESS(1000, MATCH($B35, Attendance_data!$E$3:$BI$3, 0) + 4)),
    "P"
  )
  /
  (
    COUNTIFS(
      Attendance_data!$B$4:$B$1000,V$4,
      INDIRECT("Attendance_data!" &amp; ADDRESS(4, MATCH($B35, Attendance_data!$E$3:$BI$3, 0) + 4) &amp; ":" &amp;
               ADDRESS(1000, MATCH($B35, Attendance_data!$E$3:$BI$3, 0) + 4)),
      "P"
    )
    +
    COUNTIFS(
      Attendance_data!$B$4:$B$1000,V$4,
      INDIRECT("Attendance_data!" &amp; ADDRESS(4, MATCH($B35, Attendance_data!$E$3:$BI$3, 0) + 4) &amp; ":" &amp;
               ADDRESS(1000, MATCH($B35, Attendance_data!$E$3:$BI$3, 0) + 4)),
      "A"
    )
  ),"")</f>
        <v/>
      </c>
      <c r="W35" s="18" t="str">
        <f t="array" ref="W35">IFERROR(
  COUNTIFS(Attendance_data!$B$4:$B$1000,W$4,
    INDIRECT("Attendance_data!" &amp; ADDRESS(4, MATCH($B35, Attendance_data!$E$3:$BI$3, 0) + 4) &amp; ":" &amp;
             ADDRESS(1000, MATCH($B35, Attendance_data!$E$3:$BI$3, 0) + 4)),
    "P"
  )
  /
  (
    COUNTIFS(
      Attendance_data!$B$4:$B$1000,W$4,
      INDIRECT("Attendance_data!" &amp; ADDRESS(4, MATCH($B35, Attendance_data!$E$3:$BI$3, 0) + 4) &amp; ":" &amp;
               ADDRESS(1000, MATCH($B35, Attendance_data!$E$3:$BI$3, 0) + 4)),
      "P"
    )
    +
    COUNTIFS(
      Attendance_data!$B$4:$B$1000,W$4,
      INDIRECT("Attendance_data!" &amp; ADDRESS(4, MATCH($B35, Attendance_data!$E$3:$BI$3, 0) + 4) &amp; ":" &amp;
               ADDRESS(1000, MATCH($B35, Attendance_data!$E$3:$BI$3, 0) + 4)),
      "A"
    )
  ),"")</f>
        <v/>
      </c>
      <c r="X35" s="18" t="str">
        <f t="array" ref="X35">IFERROR(
  COUNTIFS(Attendance_data!$B$4:$B$1000,X$4,
    INDIRECT("Attendance_data!" &amp; ADDRESS(4, MATCH($B35, Attendance_data!$E$3:$BI$3, 0) + 4) &amp; ":" &amp;
             ADDRESS(1000, MATCH($B35, Attendance_data!$E$3:$BI$3, 0) + 4)),
    "P"
  )
  /
  (
    COUNTIFS(
      Attendance_data!$B$4:$B$1000,X$4,
      INDIRECT("Attendance_data!" &amp; ADDRESS(4, MATCH($B35, Attendance_data!$E$3:$BI$3, 0) + 4) &amp; ":" &amp;
               ADDRESS(1000, MATCH($B35, Attendance_data!$E$3:$BI$3, 0) + 4)),
      "P"
    )
    +
    COUNTIFS(
      Attendance_data!$B$4:$B$1000,X$4,
      INDIRECT("Attendance_data!" &amp; ADDRESS(4, MATCH($B35, Attendance_data!$E$3:$BI$3, 0) + 4) &amp; ":" &amp;
               ADDRESS(1000, MATCH($B35, Attendance_data!$E$3:$BI$3, 0) + 4)),
      "A"
    )
  ),"")</f>
        <v/>
      </c>
      <c r="Y35" s="18" t="str">
        <f t="array" ref="Y35">IFERROR(
  COUNTIFS(Attendance_data!$B$4:$B$1000,Y$4,
    INDIRECT("Attendance_data!" &amp; ADDRESS(4, MATCH($B35, Attendance_data!$E$3:$BI$3, 0) + 4) &amp; ":" &amp;
             ADDRESS(1000, MATCH($B35, Attendance_data!$E$3:$BI$3, 0) + 4)),
    "P"
  )
  /
  (
    COUNTIFS(
      Attendance_data!$B$4:$B$1000,Y$4,
      INDIRECT("Attendance_data!" &amp; ADDRESS(4, MATCH($B35, Attendance_data!$E$3:$BI$3, 0) + 4) &amp; ":" &amp;
               ADDRESS(1000, MATCH($B35, Attendance_data!$E$3:$BI$3, 0) + 4)),
      "P"
    )
    +
    COUNTIFS(
      Attendance_data!$B$4:$B$1000,Y$4,
      INDIRECT("Attendance_data!" &amp; ADDRESS(4, MATCH($B35, Attendance_data!$E$3:$BI$3, 0) + 4) &amp; ":" &amp;
               ADDRESS(1000, MATCH($B35, Attendance_data!$E$3:$BI$3, 0) + 4)),
      "A"
    )
  ),"")</f>
        <v/>
      </c>
      <c r="Z35" s="18" t="str">
        <f t="array" ref="Z35">IFERROR(
  COUNTIFS(Attendance_data!$B$4:$B$1000,Z$4,
    INDIRECT("Attendance_data!" &amp; ADDRESS(4, MATCH($B35, Attendance_data!$E$3:$BI$3, 0) + 4) &amp; ":" &amp;
             ADDRESS(1000, MATCH($B35, Attendance_data!$E$3:$BI$3, 0) + 4)),
    "P"
  )
  /
  (
    COUNTIFS(
      Attendance_data!$B$4:$B$1000,Z$4,
      INDIRECT("Attendance_data!" &amp; ADDRESS(4, MATCH($B35, Attendance_data!$E$3:$BI$3, 0) + 4) &amp; ":" &amp;
               ADDRESS(1000, MATCH($B35, Attendance_data!$E$3:$BI$3, 0) + 4)),
      "P"
    )
    +
    COUNTIFS(
      Attendance_data!$B$4:$B$1000,Z$4,
      INDIRECT("Attendance_data!" &amp; ADDRESS(4, MATCH($B35, Attendance_data!$E$3:$BI$3, 0) + 4) &amp; ":" &amp;
               ADDRESS(1000, MATCH($B35, Attendance_data!$E$3:$BI$3, 0) + 4)),
      "A"
    )
  ),"")</f>
        <v/>
      </c>
      <c r="AA35" s="18" t="str">
        <f t="array" ref="AA35">IFERROR(
  COUNTIFS(Attendance_data!$B$4:$B$1000,AA$4,
    INDIRECT("Attendance_data!" &amp; ADDRESS(4, MATCH($B35, Attendance_data!$E$3:$BI$3, 0) + 4) &amp; ":" &amp;
             ADDRESS(1000, MATCH($B35, Attendance_data!$E$3:$BI$3, 0) + 4)),
    "P"
  )
  /
  (
    COUNTIFS(
      Attendance_data!$B$4:$B$1000,AA$4,
      INDIRECT("Attendance_data!" &amp; ADDRESS(4, MATCH($B35, Attendance_data!$E$3:$BI$3, 0) + 4) &amp; ":" &amp;
               ADDRESS(1000, MATCH($B35, Attendance_data!$E$3:$BI$3, 0) + 4)),
      "P"
    )
    +
    COUNTIFS(
      Attendance_data!$B$4:$B$1000,AA$4,
      INDIRECT("Attendance_data!" &amp; ADDRESS(4, MATCH($B35, Attendance_data!$E$3:$BI$3, 0) + 4) &amp; ":" &amp;
               ADDRESS(1000, MATCH($B35, Attendance_data!$E$3:$BI$3, 0) + 4)),
      "A"
    )
  ),"")</f>
        <v/>
      </c>
      <c r="AB35" s="19" t="str">
        <f t="shared" si="3"/>
        <v>#DIV/0!</v>
      </c>
      <c r="AC35" s="1"/>
      <c r="AD35" s="1"/>
      <c r="AE35" s="1"/>
      <c r="AF35" s="1"/>
      <c r="AG35" s="1"/>
      <c r="AH35" s="1"/>
    </row>
    <row r="36">
      <c r="A36" s="14">
        <f t="shared" si="2"/>
        <v>32</v>
      </c>
      <c r="B36" s="22"/>
      <c r="C36" s="22"/>
      <c r="D36" s="23"/>
      <c r="E36" s="23"/>
      <c r="F36" s="23"/>
      <c r="G36" s="23"/>
      <c r="H36" s="23"/>
      <c r="I36" s="2"/>
      <c r="J36" s="1"/>
      <c r="K36" s="1"/>
      <c r="L36" s="1"/>
      <c r="M36" s="1"/>
      <c r="N36" s="1"/>
      <c r="O36" s="1"/>
      <c r="P36" s="18" t="str">
        <f t="array" ref="P36">IFERROR(
  COUNTIFS(Attendance_data!$B$4:$B$1000,P$4,
    INDIRECT("Attendance_data!" &amp; ADDRESS(4, MATCH($B36, Attendance_data!$E$3:$BI$3, 0) + 4) &amp; ":" &amp;
             ADDRESS(1000, MATCH($B36, Attendance_data!$E$3:$BI$3, 0) + 4)),
    "P"
  )
  /
  (
    COUNTIFS(
      Attendance_data!$B$4:$B$1000,P$4,
      INDIRECT("Attendance_data!" &amp; ADDRESS(4, MATCH($B36, Attendance_data!$E$3:$BI$3, 0) + 4) &amp; ":" &amp;
               ADDRESS(1000, MATCH($B36, Attendance_data!$E$3:$BI$3, 0) + 4)),
      "P"
    )
    +
    COUNTIFS(
      Attendance_data!$B$4:$B$1000,P$4,
      INDIRECT("Attendance_data!" &amp; ADDRESS(4, MATCH($B36, Attendance_data!$E$3:$BI$3, 0) + 4) &amp; ":" &amp;
               ADDRESS(1000, MATCH($B36, Attendance_data!$E$3:$BI$3, 0) + 4)),
      "A"
    )
  ),"")</f>
        <v/>
      </c>
      <c r="Q36" s="18" t="str">
        <f t="array" ref="Q36">IFERROR(
  COUNTIFS(Attendance_data!$B$4:$B$1000,Q$4,
    INDIRECT("Attendance_data!" &amp; ADDRESS(4, MATCH($B36, Attendance_data!$E$3:$BI$3, 0) + 4) &amp; ":" &amp;
             ADDRESS(1000, MATCH($B36, Attendance_data!$E$3:$BI$3, 0) + 4)),
    "P"
  )
  /
  (
    COUNTIFS(
      Attendance_data!$B$4:$B$1000,Q$4,
      INDIRECT("Attendance_data!" &amp; ADDRESS(4, MATCH($B36, Attendance_data!$E$3:$BI$3, 0) + 4) &amp; ":" &amp;
               ADDRESS(1000, MATCH($B36, Attendance_data!$E$3:$BI$3, 0) + 4)),
      "P"
    )
    +
    COUNTIFS(
      Attendance_data!$B$4:$B$1000,Q$4,
      INDIRECT("Attendance_data!" &amp; ADDRESS(4, MATCH($B36, Attendance_data!$E$3:$BI$3, 0) + 4) &amp; ":" &amp;
               ADDRESS(1000, MATCH($B36, Attendance_data!$E$3:$BI$3, 0) + 4)),
      "A"
    )
  ),"")</f>
        <v/>
      </c>
      <c r="R36" s="18" t="str">
        <f t="array" ref="R36">IFERROR(
  COUNTIFS(Attendance_data!$B$4:$B$1000,R$4,
    INDIRECT("Attendance_data!" &amp; ADDRESS(4, MATCH($B36, Attendance_data!$E$3:$BI$3, 0) + 4) &amp; ":" &amp;
             ADDRESS(1000, MATCH($B36, Attendance_data!$E$3:$BI$3, 0) + 4)),
    "P"
  )
  /
  (
    COUNTIFS(
      Attendance_data!$B$4:$B$1000,R$4,
      INDIRECT("Attendance_data!" &amp; ADDRESS(4, MATCH($B36, Attendance_data!$E$3:$BI$3, 0) + 4) &amp; ":" &amp;
               ADDRESS(1000, MATCH($B36, Attendance_data!$E$3:$BI$3, 0) + 4)),
      "P"
    )
    +
    COUNTIFS(
      Attendance_data!$B$4:$B$1000,R$4,
      INDIRECT("Attendance_data!" &amp; ADDRESS(4, MATCH($B36, Attendance_data!$E$3:$BI$3, 0) + 4) &amp; ":" &amp;
               ADDRESS(1000, MATCH($B36, Attendance_data!$E$3:$BI$3, 0) + 4)),
      "A"
    )
  ),"")</f>
        <v/>
      </c>
      <c r="S36" s="18" t="str">
        <f t="array" ref="S36">IFERROR(
  COUNTIFS(Attendance_data!$B$4:$B$1000,S$4,
    INDIRECT("Attendance_data!" &amp; ADDRESS(4, MATCH($B36, Attendance_data!$E$3:$BI$3, 0) + 4) &amp; ":" &amp;
             ADDRESS(1000, MATCH($B36, Attendance_data!$E$3:$BI$3, 0) + 4)),
    "P"
  )
  /
  (
    COUNTIFS(
      Attendance_data!$B$4:$B$1000,S$4,
      INDIRECT("Attendance_data!" &amp; ADDRESS(4, MATCH($B36, Attendance_data!$E$3:$BI$3, 0) + 4) &amp; ":" &amp;
               ADDRESS(1000, MATCH($B36, Attendance_data!$E$3:$BI$3, 0) + 4)),
      "P"
    )
    +
    COUNTIFS(
      Attendance_data!$B$4:$B$1000,S$4,
      INDIRECT("Attendance_data!" &amp; ADDRESS(4, MATCH($B36, Attendance_data!$E$3:$BI$3, 0) + 4) &amp; ":" &amp;
               ADDRESS(1000, MATCH($B36, Attendance_data!$E$3:$BI$3, 0) + 4)),
      "A"
    )
  ),"")</f>
        <v/>
      </c>
      <c r="T36" s="18" t="str">
        <f t="array" ref="T36">IFERROR(
  COUNTIFS(Attendance_data!$B$4:$B$1000,T$4,
    INDIRECT("Attendance_data!" &amp; ADDRESS(4, MATCH($B36, Attendance_data!$E$3:$BI$3, 0) + 4) &amp; ":" &amp;
             ADDRESS(1000, MATCH($B36, Attendance_data!$E$3:$BI$3, 0) + 4)),
    "P"
  )
  /
  (
    COUNTIFS(
      Attendance_data!$B$4:$B$1000,T$4,
      INDIRECT("Attendance_data!" &amp; ADDRESS(4, MATCH($B36, Attendance_data!$E$3:$BI$3, 0) + 4) &amp; ":" &amp;
               ADDRESS(1000, MATCH($B36, Attendance_data!$E$3:$BI$3, 0) + 4)),
      "P"
    )
    +
    COUNTIFS(
      Attendance_data!$B$4:$B$1000,T$4,
      INDIRECT("Attendance_data!" &amp; ADDRESS(4, MATCH($B36, Attendance_data!$E$3:$BI$3, 0) + 4) &amp; ":" &amp;
               ADDRESS(1000, MATCH($B36, Attendance_data!$E$3:$BI$3, 0) + 4)),
      "A"
    )
  ),"")</f>
        <v/>
      </c>
      <c r="U36" s="18" t="str">
        <f t="array" ref="U36">IFERROR(
  COUNTIFS(Attendance_data!$B$4:$B$1000,U$4,
    INDIRECT("Attendance_data!" &amp; ADDRESS(4, MATCH($B36, Attendance_data!$E$3:$BI$3, 0) + 4) &amp; ":" &amp;
             ADDRESS(1000, MATCH($B36, Attendance_data!$E$3:$BI$3, 0) + 4)),
    "P"
  )
  /
  (
    COUNTIFS(
      Attendance_data!$B$4:$B$1000,U$4,
      INDIRECT("Attendance_data!" &amp; ADDRESS(4, MATCH($B36, Attendance_data!$E$3:$BI$3, 0) + 4) &amp; ":" &amp;
               ADDRESS(1000, MATCH($B36, Attendance_data!$E$3:$BI$3, 0) + 4)),
      "P"
    )
    +
    COUNTIFS(
      Attendance_data!$B$4:$B$1000,U$4,
      INDIRECT("Attendance_data!" &amp; ADDRESS(4, MATCH($B36, Attendance_data!$E$3:$BI$3, 0) + 4) &amp; ":" &amp;
               ADDRESS(1000, MATCH($B36, Attendance_data!$E$3:$BI$3, 0) + 4)),
      "A"
    )
  ),"")</f>
        <v/>
      </c>
      <c r="V36" s="18" t="str">
        <f t="array" ref="V36">IFERROR(
  COUNTIFS(Attendance_data!$B$4:$B$1000,V$4,
    INDIRECT("Attendance_data!" &amp; ADDRESS(4, MATCH($B36, Attendance_data!$E$3:$BI$3, 0) + 4) &amp; ":" &amp;
             ADDRESS(1000, MATCH($B36, Attendance_data!$E$3:$BI$3, 0) + 4)),
    "P"
  )
  /
  (
    COUNTIFS(
      Attendance_data!$B$4:$B$1000,V$4,
      INDIRECT("Attendance_data!" &amp; ADDRESS(4, MATCH($B36, Attendance_data!$E$3:$BI$3, 0) + 4) &amp; ":" &amp;
               ADDRESS(1000, MATCH($B36, Attendance_data!$E$3:$BI$3, 0) + 4)),
      "P"
    )
    +
    COUNTIFS(
      Attendance_data!$B$4:$B$1000,V$4,
      INDIRECT("Attendance_data!" &amp; ADDRESS(4, MATCH($B36, Attendance_data!$E$3:$BI$3, 0) + 4) &amp; ":" &amp;
               ADDRESS(1000, MATCH($B36, Attendance_data!$E$3:$BI$3, 0) + 4)),
      "A"
    )
  ),"")</f>
        <v/>
      </c>
      <c r="W36" s="18" t="str">
        <f t="array" ref="W36">IFERROR(
  COUNTIFS(Attendance_data!$B$4:$B$1000,W$4,
    INDIRECT("Attendance_data!" &amp; ADDRESS(4, MATCH($B36, Attendance_data!$E$3:$BI$3, 0) + 4) &amp; ":" &amp;
             ADDRESS(1000, MATCH($B36, Attendance_data!$E$3:$BI$3, 0) + 4)),
    "P"
  )
  /
  (
    COUNTIFS(
      Attendance_data!$B$4:$B$1000,W$4,
      INDIRECT("Attendance_data!" &amp; ADDRESS(4, MATCH($B36, Attendance_data!$E$3:$BI$3, 0) + 4) &amp; ":" &amp;
               ADDRESS(1000, MATCH($B36, Attendance_data!$E$3:$BI$3, 0) + 4)),
      "P"
    )
    +
    COUNTIFS(
      Attendance_data!$B$4:$B$1000,W$4,
      INDIRECT("Attendance_data!" &amp; ADDRESS(4, MATCH($B36, Attendance_data!$E$3:$BI$3, 0) + 4) &amp; ":" &amp;
               ADDRESS(1000, MATCH($B36, Attendance_data!$E$3:$BI$3, 0) + 4)),
      "A"
    )
  ),"")</f>
        <v/>
      </c>
      <c r="X36" s="18" t="str">
        <f t="array" ref="X36">IFERROR(
  COUNTIFS(Attendance_data!$B$4:$B$1000,X$4,
    INDIRECT("Attendance_data!" &amp; ADDRESS(4, MATCH($B36, Attendance_data!$E$3:$BI$3, 0) + 4) &amp; ":" &amp;
             ADDRESS(1000, MATCH($B36, Attendance_data!$E$3:$BI$3, 0) + 4)),
    "P"
  )
  /
  (
    COUNTIFS(
      Attendance_data!$B$4:$B$1000,X$4,
      INDIRECT("Attendance_data!" &amp; ADDRESS(4, MATCH($B36, Attendance_data!$E$3:$BI$3, 0) + 4) &amp; ":" &amp;
               ADDRESS(1000, MATCH($B36, Attendance_data!$E$3:$BI$3, 0) + 4)),
      "P"
    )
    +
    COUNTIFS(
      Attendance_data!$B$4:$B$1000,X$4,
      INDIRECT("Attendance_data!" &amp; ADDRESS(4, MATCH($B36, Attendance_data!$E$3:$BI$3, 0) + 4) &amp; ":" &amp;
               ADDRESS(1000, MATCH($B36, Attendance_data!$E$3:$BI$3, 0) + 4)),
      "A"
    )
  ),"")</f>
        <v/>
      </c>
      <c r="Y36" s="18" t="str">
        <f t="array" ref="Y36">IFERROR(
  COUNTIFS(Attendance_data!$B$4:$B$1000,Y$4,
    INDIRECT("Attendance_data!" &amp; ADDRESS(4, MATCH($B36, Attendance_data!$E$3:$BI$3, 0) + 4) &amp; ":" &amp;
             ADDRESS(1000, MATCH($B36, Attendance_data!$E$3:$BI$3, 0) + 4)),
    "P"
  )
  /
  (
    COUNTIFS(
      Attendance_data!$B$4:$B$1000,Y$4,
      INDIRECT("Attendance_data!" &amp; ADDRESS(4, MATCH($B36, Attendance_data!$E$3:$BI$3, 0) + 4) &amp; ":" &amp;
               ADDRESS(1000, MATCH($B36, Attendance_data!$E$3:$BI$3, 0) + 4)),
      "P"
    )
    +
    COUNTIFS(
      Attendance_data!$B$4:$B$1000,Y$4,
      INDIRECT("Attendance_data!" &amp; ADDRESS(4, MATCH($B36, Attendance_data!$E$3:$BI$3, 0) + 4) &amp; ":" &amp;
               ADDRESS(1000, MATCH($B36, Attendance_data!$E$3:$BI$3, 0) + 4)),
      "A"
    )
  ),"")</f>
        <v/>
      </c>
      <c r="Z36" s="18" t="str">
        <f t="array" ref="Z36">IFERROR(
  COUNTIFS(Attendance_data!$B$4:$B$1000,Z$4,
    INDIRECT("Attendance_data!" &amp; ADDRESS(4, MATCH($B36, Attendance_data!$E$3:$BI$3, 0) + 4) &amp; ":" &amp;
             ADDRESS(1000, MATCH($B36, Attendance_data!$E$3:$BI$3, 0) + 4)),
    "P"
  )
  /
  (
    COUNTIFS(
      Attendance_data!$B$4:$B$1000,Z$4,
      INDIRECT("Attendance_data!" &amp; ADDRESS(4, MATCH($B36, Attendance_data!$E$3:$BI$3, 0) + 4) &amp; ":" &amp;
               ADDRESS(1000, MATCH($B36, Attendance_data!$E$3:$BI$3, 0) + 4)),
      "P"
    )
    +
    COUNTIFS(
      Attendance_data!$B$4:$B$1000,Z$4,
      INDIRECT("Attendance_data!" &amp; ADDRESS(4, MATCH($B36, Attendance_data!$E$3:$BI$3, 0) + 4) &amp; ":" &amp;
               ADDRESS(1000, MATCH($B36, Attendance_data!$E$3:$BI$3, 0) + 4)),
      "A"
    )
  ),"")</f>
        <v/>
      </c>
      <c r="AA36" s="18" t="str">
        <f t="array" ref="AA36">IFERROR(
  COUNTIFS(Attendance_data!$B$4:$B$1000,AA$4,
    INDIRECT("Attendance_data!" &amp; ADDRESS(4, MATCH($B36, Attendance_data!$E$3:$BI$3, 0) + 4) &amp; ":" &amp;
             ADDRESS(1000, MATCH($B36, Attendance_data!$E$3:$BI$3, 0) + 4)),
    "P"
  )
  /
  (
    COUNTIFS(
      Attendance_data!$B$4:$B$1000,AA$4,
      INDIRECT("Attendance_data!" &amp; ADDRESS(4, MATCH($B36, Attendance_data!$E$3:$BI$3, 0) + 4) &amp; ":" &amp;
               ADDRESS(1000, MATCH($B36, Attendance_data!$E$3:$BI$3, 0) + 4)),
      "P"
    )
    +
    COUNTIFS(
      Attendance_data!$B$4:$B$1000,AA$4,
      INDIRECT("Attendance_data!" &amp; ADDRESS(4, MATCH($B36, Attendance_data!$E$3:$BI$3, 0) + 4) &amp; ":" &amp;
               ADDRESS(1000, MATCH($B36, Attendance_data!$E$3:$BI$3, 0) + 4)),
      "A"
    )
  ),"")</f>
        <v/>
      </c>
      <c r="AB36" s="19" t="str">
        <f t="shared" si="3"/>
        <v>#DIV/0!</v>
      </c>
      <c r="AC36" s="1"/>
      <c r="AD36" s="1"/>
      <c r="AE36" s="1"/>
      <c r="AF36" s="1"/>
      <c r="AG36" s="1"/>
      <c r="AH36" s="1"/>
    </row>
    <row r="37">
      <c r="A37" s="14">
        <f t="shared" si="2"/>
        <v>33</v>
      </c>
      <c r="B37" s="23"/>
      <c r="C37" s="23"/>
      <c r="D37" s="23"/>
      <c r="E37" s="23"/>
      <c r="F37" s="23"/>
      <c r="G37" s="24"/>
      <c r="H37" s="23"/>
      <c r="I37" s="2"/>
      <c r="J37" s="19">
        <f t="shared" ref="J37:O37" si="4">AVERAGEif(J5:J34,"&gt;0")/30</f>
        <v>0.7269230769</v>
      </c>
      <c r="K37" s="19">
        <f t="shared" si="4"/>
        <v>0.7948717949</v>
      </c>
      <c r="L37" s="19">
        <f t="shared" si="4"/>
        <v>0.824</v>
      </c>
      <c r="M37" s="19">
        <f t="shared" si="4"/>
        <v>0.7402298851</v>
      </c>
      <c r="N37" s="19">
        <f t="shared" si="4"/>
        <v>0.7793103448</v>
      </c>
      <c r="O37" s="19">
        <f t="shared" si="4"/>
        <v>0.6963768116</v>
      </c>
      <c r="P37" s="18" t="str">
        <f t="array" ref="P37">IFERROR(
  COUNTIFS(Attendance_data!$B$4:$B$1000,P$4,
    INDIRECT("Attendance_data!" &amp; ADDRESS(4, MATCH($B37, Attendance_data!$E$3:$BI$3, 0) + 4) &amp; ":" &amp;
             ADDRESS(1000, MATCH($B37, Attendance_data!$E$3:$BI$3, 0) + 4)),
    "P"
  )
  /
  (
    COUNTIFS(
      Attendance_data!$B$4:$B$1000,P$4,
      INDIRECT("Attendance_data!" &amp; ADDRESS(4, MATCH($B37, Attendance_data!$E$3:$BI$3, 0) + 4) &amp; ":" &amp;
               ADDRESS(1000, MATCH($B37, Attendance_data!$E$3:$BI$3, 0) + 4)),
      "P"
    )
    +
    COUNTIFS(
      Attendance_data!$B$4:$B$1000,P$4,
      INDIRECT("Attendance_data!" &amp; ADDRESS(4, MATCH($B37, Attendance_data!$E$3:$BI$3, 0) + 4) &amp; ":" &amp;
               ADDRESS(1000, MATCH($B37, Attendance_data!$E$3:$BI$3, 0) + 4)),
      "A"
    )
  ),"")</f>
        <v/>
      </c>
      <c r="Q37" s="18" t="str">
        <f t="array" ref="Q37">IFERROR(
  COUNTIFS(Attendance_data!$B$4:$B$1000,Q$4,
    INDIRECT("Attendance_data!" &amp; ADDRESS(4, MATCH($B37, Attendance_data!$E$3:$BI$3, 0) + 4) &amp; ":" &amp;
             ADDRESS(1000, MATCH($B37, Attendance_data!$E$3:$BI$3, 0) + 4)),
    "P"
  )
  /
  (
    COUNTIFS(
      Attendance_data!$B$4:$B$1000,Q$4,
      INDIRECT("Attendance_data!" &amp; ADDRESS(4, MATCH($B37, Attendance_data!$E$3:$BI$3, 0) + 4) &amp; ":" &amp;
               ADDRESS(1000, MATCH($B37, Attendance_data!$E$3:$BI$3, 0) + 4)),
      "P"
    )
    +
    COUNTIFS(
      Attendance_data!$B$4:$B$1000,Q$4,
      INDIRECT("Attendance_data!" &amp; ADDRESS(4, MATCH($B37, Attendance_data!$E$3:$BI$3, 0) + 4) &amp; ":" &amp;
               ADDRESS(1000, MATCH($B37, Attendance_data!$E$3:$BI$3, 0) + 4)),
      "A"
    )
  ),"")</f>
        <v/>
      </c>
      <c r="R37" s="18" t="str">
        <f t="array" ref="R37">IFERROR(
  COUNTIFS(Attendance_data!$B$4:$B$1000,R$4,
    INDIRECT("Attendance_data!" &amp; ADDRESS(4, MATCH($B37, Attendance_data!$E$3:$BI$3, 0) + 4) &amp; ":" &amp;
             ADDRESS(1000, MATCH($B37, Attendance_data!$E$3:$BI$3, 0) + 4)),
    "P"
  )
  /
  (
    COUNTIFS(
      Attendance_data!$B$4:$B$1000,R$4,
      INDIRECT("Attendance_data!" &amp; ADDRESS(4, MATCH($B37, Attendance_data!$E$3:$BI$3, 0) + 4) &amp; ":" &amp;
               ADDRESS(1000, MATCH($B37, Attendance_data!$E$3:$BI$3, 0) + 4)),
      "P"
    )
    +
    COUNTIFS(
      Attendance_data!$B$4:$B$1000,R$4,
      INDIRECT("Attendance_data!" &amp; ADDRESS(4, MATCH($B37, Attendance_data!$E$3:$BI$3, 0) + 4) &amp; ":" &amp;
               ADDRESS(1000, MATCH($B37, Attendance_data!$E$3:$BI$3, 0) + 4)),
      "A"
    )
  ),"")</f>
        <v/>
      </c>
      <c r="S37" s="18" t="str">
        <f t="array" ref="S37">IFERROR(
  COUNTIFS(Attendance_data!$B$4:$B$1000,S$4,
    INDIRECT("Attendance_data!" &amp; ADDRESS(4, MATCH($B37, Attendance_data!$E$3:$BI$3, 0) + 4) &amp; ":" &amp;
             ADDRESS(1000, MATCH($B37, Attendance_data!$E$3:$BI$3, 0) + 4)),
    "P"
  )
  /
  (
    COUNTIFS(
      Attendance_data!$B$4:$B$1000,S$4,
      INDIRECT("Attendance_data!" &amp; ADDRESS(4, MATCH($B37, Attendance_data!$E$3:$BI$3, 0) + 4) &amp; ":" &amp;
               ADDRESS(1000, MATCH($B37, Attendance_data!$E$3:$BI$3, 0) + 4)),
      "P"
    )
    +
    COUNTIFS(
      Attendance_data!$B$4:$B$1000,S$4,
      INDIRECT("Attendance_data!" &amp; ADDRESS(4, MATCH($B37, Attendance_data!$E$3:$BI$3, 0) + 4) &amp; ":" &amp;
               ADDRESS(1000, MATCH($B37, Attendance_data!$E$3:$BI$3, 0) + 4)),
      "A"
    )
  ),"")</f>
        <v/>
      </c>
      <c r="T37" s="18" t="str">
        <f t="array" ref="T37">IFERROR(
  COUNTIFS(Attendance_data!$B$4:$B$1000,T$4,
    INDIRECT("Attendance_data!" &amp; ADDRESS(4, MATCH($B37, Attendance_data!$E$3:$BI$3, 0) + 4) &amp; ":" &amp;
             ADDRESS(1000, MATCH($B37, Attendance_data!$E$3:$BI$3, 0) + 4)),
    "P"
  )
  /
  (
    COUNTIFS(
      Attendance_data!$B$4:$B$1000,T$4,
      INDIRECT("Attendance_data!" &amp; ADDRESS(4, MATCH($B37, Attendance_data!$E$3:$BI$3, 0) + 4) &amp; ":" &amp;
               ADDRESS(1000, MATCH($B37, Attendance_data!$E$3:$BI$3, 0) + 4)),
      "P"
    )
    +
    COUNTIFS(
      Attendance_data!$B$4:$B$1000,T$4,
      INDIRECT("Attendance_data!" &amp; ADDRESS(4, MATCH($B37, Attendance_data!$E$3:$BI$3, 0) + 4) &amp; ":" &amp;
               ADDRESS(1000, MATCH($B37, Attendance_data!$E$3:$BI$3, 0) + 4)),
      "A"
    )
  ),"")</f>
        <v/>
      </c>
      <c r="U37" s="18" t="str">
        <f t="array" ref="U37">IFERROR(
  COUNTIFS(Attendance_data!$B$4:$B$1000,U$4,
    INDIRECT("Attendance_data!" &amp; ADDRESS(4, MATCH($B37, Attendance_data!$E$3:$BI$3, 0) + 4) &amp; ":" &amp;
             ADDRESS(1000, MATCH($B37, Attendance_data!$E$3:$BI$3, 0) + 4)),
    "P"
  )
  /
  (
    COUNTIFS(
      Attendance_data!$B$4:$B$1000,U$4,
      INDIRECT("Attendance_data!" &amp; ADDRESS(4, MATCH($B37, Attendance_data!$E$3:$BI$3, 0) + 4) &amp; ":" &amp;
               ADDRESS(1000, MATCH($B37, Attendance_data!$E$3:$BI$3, 0) + 4)),
      "P"
    )
    +
    COUNTIFS(
      Attendance_data!$B$4:$B$1000,U$4,
      INDIRECT("Attendance_data!" &amp; ADDRESS(4, MATCH($B37, Attendance_data!$E$3:$BI$3, 0) + 4) &amp; ":" &amp;
               ADDRESS(1000, MATCH($B37, Attendance_data!$E$3:$BI$3, 0) + 4)),
      "A"
    )
  ),"")</f>
        <v/>
      </c>
      <c r="V37" s="18" t="str">
        <f t="array" ref="V37">IFERROR(
  COUNTIFS(Attendance_data!$B$4:$B$1000,V$4,
    INDIRECT("Attendance_data!" &amp; ADDRESS(4, MATCH($B37, Attendance_data!$E$3:$BI$3, 0) + 4) &amp; ":" &amp;
             ADDRESS(1000, MATCH($B37, Attendance_data!$E$3:$BI$3, 0) + 4)),
    "P"
  )
  /
  (
    COUNTIFS(
      Attendance_data!$B$4:$B$1000,V$4,
      INDIRECT("Attendance_data!" &amp; ADDRESS(4, MATCH($B37, Attendance_data!$E$3:$BI$3, 0) + 4) &amp; ":" &amp;
               ADDRESS(1000, MATCH($B37, Attendance_data!$E$3:$BI$3, 0) + 4)),
      "P"
    )
    +
    COUNTIFS(
      Attendance_data!$B$4:$B$1000,V$4,
      INDIRECT("Attendance_data!" &amp; ADDRESS(4, MATCH($B37, Attendance_data!$E$3:$BI$3, 0) + 4) &amp; ":" &amp;
               ADDRESS(1000, MATCH($B37, Attendance_data!$E$3:$BI$3, 0) + 4)),
      "A"
    )
  ),"")</f>
        <v/>
      </c>
      <c r="W37" s="18" t="str">
        <f t="array" ref="W37">IFERROR(
  COUNTIFS(Attendance_data!$B$4:$B$1000,W$4,
    INDIRECT("Attendance_data!" &amp; ADDRESS(4, MATCH($B37, Attendance_data!$E$3:$BI$3, 0) + 4) &amp; ":" &amp;
             ADDRESS(1000, MATCH($B37, Attendance_data!$E$3:$BI$3, 0) + 4)),
    "P"
  )
  /
  (
    COUNTIFS(
      Attendance_data!$B$4:$B$1000,W$4,
      INDIRECT("Attendance_data!" &amp; ADDRESS(4, MATCH($B37, Attendance_data!$E$3:$BI$3, 0) + 4) &amp; ":" &amp;
               ADDRESS(1000, MATCH($B37, Attendance_data!$E$3:$BI$3, 0) + 4)),
      "P"
    )
    +
    COUNTIFS(
      Attendance_data!$B$4:$B$1000,W$4,
      INDIRECT("Attendance_data!" &amp; ADDRESS(4, MATCH($B37, Attendance_data!$E$3:$BI$3, 0) + 4) &amp; ":" &amp;
               ADDRESS(1000, MATCH($B37, Attendance_data!$E$3:$BI$3, 0) + 4)),
      "A"
    )
  ),"")</f>
        <v/>
      </c>
      <c r="X37" s="18" t="str">
        <f t="array" ref="X37">IFERROR(
  COUNTIFS(Attendance_data!$B$4:$B$1000,X$4,
    INDIRECT("Attendance_data!" &amp; ADDRESS(4, MATCH($B37, Attendance_data!$E$3:$BI$3, 0) + 4) &amp; ":" &amp;
             ADDRESS(1000, MATCH($B37, Attendance_data!$E$3:$BI$3, 0) + 4)),
    "P"
  )
  /
  (
    COUNTIFS(
      Attendance_data!$B$4:$B$1000,X$4,
      INDIRECT("Attendance_data!" &amp; ADDRESS(4, MATCH($B37, Attendance_data!$E$3:$BI$3, 0) + 4) &amp; ":" &amp;
               ADDRESS(1000, MATCH($B37, Attendance_data!$E$3:$BI$3, 0) + 4)),
      "P"
    )
    +
    COUNTIFS(
      Attendance_data!$B$4:$B$1000,X$4,
      INDIRECT("Attendance_data!" &amp; ADDRESS(4, MATCH($B37, Attendance_data!$E$3:$BI$3, 0) + 4) &amp; ":" &amp;
               ADDRESS(1000, MATCH($B37, Attendance_data!$E$3:$BI$3, 0) + 4)),
      "A"
    )
  ),"")</f>
        <v/>
      </c>
      <c r="Y37" s="18" t="str">
        <f t="array" ref="Y37">IFERROR(
  COUNTIFS(Attendance_data!$B$4:$B$1000,Y$4,
    INDIRECT("Attendance_data!" &amp; ADDRESS(4, MATCH($B37, Attendance_data!$E$3:$BI$3, 0) + 4) &amp; ":" &amp;
             ADDRESS(1000, MATCH($B37, Attendance_data!$E$3:$BI$3, 0) + 4)),
    "P"
  )
  /
  (
    COUNTIFS(
      Attendance_data!$B$4:$B$1000,Y$4,
      INDIRECT("Attendance_data!" &amp; ADDRESS(4, MATCH($B37, Attendance_data!$E$3:$BI$3, 0) + 4) &amp; ":" &amp;
               ADDRESS(1000, MATCH($B37, Attendance_data!$E$3:$BI$3, 0) + 4)),
      "P"
    )
    +
    COUNTIFS(
      Attendance_data!$B$4:$B$1000,Y$4,
      INDIRECT("Attendance_data!" &amp; ADDRESS(4, MATCH($B37, Attendance_data!$E$3:$BI$3, 0) + 4) &amp; ":" &amp;
               ADDRESS(1000, MATCH($B37, Attendance_data!$E$3:$BI$3, 0) + 4)),
      "A"
    )
  ),"")</f>
        <v/>
      </c>
      <c r="Z37" s="18" t="str">
        <f t="array" ref="Z37">IFERROR(
  COUNTIFS(Attendance_data!$B$4:$B$1000,Z$4,
    INDIRECT("Attendance_data!" &amp; ADDRESS(4, MATCH($B37, Attendance_data!$E$3:$BI$3, 0) + 4) &amp; ":" &amp;
             ADDRESS(1000, MATCH($B37, Attendance_data!$E$3:$BI$3, 0) + 4)),
    "P"
  )
  /
  (
    COUNTIFS(
      Attendance_data!$B$4:$B$1000,Z$4,
      INDIRECT("Attendance_data!" &amp; ADDRESS(4, MATCH($B37, Attendance_data!$E$3:$BI$3, 0) + 4) &amp; ":" &amp;
               ADDRESS(1000, MATCH($B37, Attendance_data!$E$3:$BI$3, 0) + 4)),
      "P"
    )
    +
    COUNTIFS(
      Attendance_data!$B$4:$B$1000,Z$4,
      INDIRECT("Attendance_data!" &amp; ADDRESS(4, MATCH($B37, Attendance_data!$E$3:$BI$3, 0) + 4) &amp; ":" &amp;
               ADDRESS(1000, MATCH($B37, Attendance_data!$E$3:$BI$3, 0) + 4)),
      "A"
    )
  ),"")</f>
        <v/>
      </c>
      <c r="AA37" s="18" t="str">
        <f t="array" ref="AA37">IFERROR(
  COUNTIFS(Attendance_data!$B$4:$B$1000,AA$4,
    INDIRECT("Attendance_data!" &amp; ADDRESS(4, MATCH($B37, Attendance_data!$E$3:$BI$3, 0) + 4) &amp; ":" &amp;
             ADDRESS(1000, MATCH($B37, Attendance_data!$E$3:$BI$3, 0) + 4)),
    "P"
  )
  /
  (
    COUNTIFS(
      Attendance_data!$B$4:$B$1000,AA$4,
      INDIRECT("Attendance_data!" &amp; ADDRESS(4, MATCH($B37, Attendance_data!$E$3:$BI$3, 0) + 4) &amp; ":" &amp;
               ADDRESS(1000, MATCH($B37, Attendance_data!$E$3:$BI$3, 0) + 4)),
      "P"
    )
    +
    COUNTIFS(
      Attendance_data!$B$4:$B$1000,AA$4,
      INDIRECT("Attendance_data!" &amp; ADDRESS(4, MATCH($B37, Attendance_data!$E$3:$BI$3, 0) + 4) &amp; ":" &amp;
               ADDRESS(1000, MATCH($B37, Attendance_data!$E$3:$BI$3, 0) + 4)),
      "A"
    )
  ),"")</f>
        <v/>
      </c>
      <c r="AB37" s="19" t="str">
        <f t="shared" si="3"/>
        <v>#DIV/0!</v>
      </c>
      <c r="AC37" s="1"/>
      <c r="AD37" s="1"/>
      <c r="AE37" s="1"/>
      <c r="AF37" s="1"/>
      <c r="AG37" s="1"/>
      <c r="AH37" s="1"/>
    </row>
    <row r="38">
      <c r="A38" s="14">
        <f t="shared" si="2"/>
        <v>34</v>
      </c>
      <c r="B38" s="23"/>
      <c r="C38" s="23"/>
      <c r="D38" s="23"/>
      <c r="E38" s="23"/>
      <c r="F38" s="23"/>
      <c r="G38" s="23"/>
      <c r="H38" s="23"/>
      <c r="I38" s="2"/>
      <c r="J38" s="1"/>
      <c r="K38" s="1"/>
      <c r="L38" s="1"/>
      <c r="M38" s="1"/>
      <c r="N38" s="1"/>
      <c r="O38" s="1"/>
      <c r="P38" s="18" t="str">
        <f t="array" ref="P38">IFERROR(
  COUNTIFS(Attendance_data!$B$4:$B$1000,P$4,
    INDIRECT("Attendance_data!" &amp; ADDRESS(4, MATCH($B38, Attendance_data!$E$3:$BI$3, 0) + 4) &amp; ":" &amp;
             ADDRESS(1000, MATCH($B38, Attendance_data!$E$3:$BI$3, 0) + 4)),
    "P"
  )
  /
  (
    COUNTIFS(
      Attendance_data!$B$4:$B$1000,P$4,
      INDIRECT("Attendance_data!" &amp; ADDRESS(4, MATCH($B38, Attendance_data!$E$3:$BI$3, 0) + 4) &amp; ":" &amp;
               ADDRESS(1000, MATCH($B38, Attendance_data!$E$3:$BI$3, 0) + 4)),
      "P"
    )
    +
    COUNTIFS(
      Attendance_data!$B$4:$B$1000,P$4,
      INDIRECT("Attendance_data!" &amp; ADDRESS(4, MATCH($B38, Attendance_data!$E$3:$BI$3, 0) + 4) &amp; ":" &amp;
               ADDRESS(1000, MATCH($B38, Attendance_data!$E$3:$BI$3, 0) + 4)),
      "A"
    )
  ),"")</f>
        <v/>
      </c>
      <c r="Q38" s="18" t="str">
        <f t="array" ref="Q38">IFERROR(
  COUNTIFS(Attendance_data!$B$4:$B$1000,Q$4,
    INDIRECT("Attendance_data!" &amp; ADDRESS(4, MATCH($B38, Attendance_data!$E$3:$BI$3, 0) + 4) &amp; ":" &amp;
             ADDRESS(1000, MATCH($B38, Attendance_data!$E$3:$BI$3, 0) + 4)),
    "P"
  )
  /
  (
    COUNTIFS(
      Attendance_data!$B$4:$B$1000,Q$4,
      INDIRECT("Attendance_data!" &amp; ADDRESS(4, MATCH($B38, Attendance_data!$E$3:$BI$3, 0) + 4) &amp; ":" &amp;
               ADDRESS(1000, MATCH($B38, Attendance_data!$E$3:$BI$3, 0) + 4)),
      "P"
    )
    +
    COUNTIFS(
      Attendance_data!$B$4:$B$1000,Q$4,
      INDIRECT("Attendance_data!" &amp; ADDRESS(4, MATCH($B38, Attendance_data!$E$3:$BI$3, 0) + 4) &amp; ":" &amp;
               ADDRESS(1000, MATCH($B38, Attendance_data!$E$3:$BI$3, 0) + 4)),
      "A"
    )
  ),"")</f>
        <v/>
      </c>
      <c r="R38" s="18" t="str">
        <f t="array" ref="R38">IFERROR(
  COUNTIFS(Attendance_data!$B$4:$B$1000,R$4,
    INDIRECT("Attendance_data!" &amp; ADDRESS(4, MATCH($B38, Attendance_data!$E$3:$BI$3, 0) + 4) &amp; ":" &amp;
             ADDRESS(1000, MATCH($B38, Attendance_data!$E$3:$BI$3, 0) + 4)),
    "P"
  )
  /
  (
    COUNTIFS(
      Attendance_data!$B$4:$B$1000,R$4,
      INDIRECT("Attendance_data!" &amp; ADDRESS(4, MATCH($B38, Attendance_data!$E$3:$BI$3, 0) + 4) &amp; ":" &amp;
               ADDRESS(1000, MATCH($B38, Attendance_data!$E$3:$BI$3, 0) + 4)),
      "P"
    )
    +
    COUNTIFS(
      Attendance_data!$B$4:$B$1000,R$4,
      INDIRECT("Attendance_data!" &amp; ADDRESS(4, MATCH($B38, Attendance_data!$E$3:$BI$3, 0) + 4) &amp; ":" &amp;
               ADDRESS(1000, MATCH($B38, Attendance_data!$E$3:$BI$3, 0) + 4)),
      "A"
    )
  ),"")</f>
        <v/>
      </c>
      <c r="S38" s="18" t="str">
        <f t="array" ref="S38">IFERROR(
  COUNTIFS(Attendance_data!$B$4:$B$1000,S$4,
    INDIRECT("Attendance_data!" &amp; ADDRESS(4, MATCH($B38, Attendance_data!$E$3:$BI$3, 0) + 4) &amp; ":" &amp;
             ADDRESS(1000, MATCH($B38, Attendance_data!$E$3:$BI$3, 0) + 4)),
    "P"
  )
  /
  (
    COUNTIFS(
      Attendance_data!$B$4:$B$1000,S$4,
      INDIRECT("Attendance_data!" &amp; ADDRESS(4, MATCH($B38, Attendance_data!$E$3:$BI$3, 0) + 4) &amp; ":" &amp;
               ADDRESS(1000, MATCH($B38, Attendance_data!$E$3:$BI$3, 0) + 4)),
      "P"
    )
    +
    COUNTIFS(
      Attendance_data!$B$4:$B$1000,S$4,
      INDIRECT("Attendance_data!" &amp; ADDRESS(4, MATCH($B38, Attendance_data!$E$3:$BI$3, 0) + 4) &amp; ":" &amp;
               ADDRESS(1000, MATCH($B38, Attendance_data!$E$3:$BI$3, 0) + 4)),
      "A"
    )
  ),"")</f>
        <v/>
      </c>
      <c r="T38" s="18" t="str">
        <f t="array" ref="T38">IFERROR(
  COUNTIFS(Attendance_data!$B$4:$B$1000,T$4,
    INDIRECT("Attendance_data!" &amp; ADDRESS(4, MATCH($B38, Attendance_data!$E$3:$BI$3, 0) + 4) &amp; ":" &amp;
             ADDRESS(1000, MATCH($B38, Attendance_data!$E$3:$BI$3, 0) + 4)),
    "P"
  )
  /
  (
    COUNTIFS(
      Attendance_data!$B$4:$B$1000,T$4,
      INDIRECT("Attendance_data!" &amp; ADDRESS(4, MATCH($B38, Attendance_data!$E$3:$BI$3, 0) + 4) &amp; ":" &amp;
               ADDRESS(1000, MATCH($B38, Attendance_data!$E$3:$BI$3, 0) + 4)),
      "P"
    )
    +
    COUNTIFS(
      Attendance_data!$B$4:$B$1000,T$4,
      INDIRECT("Attendance_data!" &amp; ADDRESS(4, MATCH($B38, Attendance_data!$E$3:$BI$3, 0) + 4) &amp; ":" &amp;
               ADDRESS(1000, MATCH($B38, Attendance_data!$E$3:$BI$3, 0) + 4)),
      "A"
    )
  ),"")</f>
        <v/>
      </c>
      <c r="U38" s="18" t="str">
        <f t="array" ref="U38">IFERROR(
  COUNTIFS(Attendance_data!$B$4:$B$1000,U$4,
    INDIRECT("Attendance_data!" &amp; ADDRESS(4, MATCH($B38, Attendance_data!$E$3:$BI$3, 0) + 4) &amp; ":" &amp;
             ADDRESS(1000, MATCH($B38, Attendance_data!$E$3:$BI$3, 0) + 4)),
    "P"
  )
  /
  (
    COUNTIFS(
      Attendance_data!$B$4:$B$1000,U$4,
      INDIRECT("Attendance_data!" &amp; ADDRESS(4, MATCH($B38, Attendance_data!$E$3:$BI$3, 0) + 4) &amp; ":" &amp;
               ADDRESS(1000, MATCH($B38, Attendance_data!$E$3:$BI$3, 0) + 4)),
      "P"
    )
    +
    COUNTIFS(
      Attendance_data!$B$4:$B$1000,U$4,
      INDIRECT("Attendance_data!" &amp; ADDRESS(4, MATCH($B38, Attendance_data!$E$3:$BI$3, 0) + 4) &amp; ":" &amp;
               ADDRESS(1000, MATCH($B38, Attendance_data!$E$3:$BI$3, 0) + 4)),
      "A"
    )
  ),"")</f>
        <v/>
      </c>
      <c r="V38" s="18" t="str">
        <f t="array" ref="V38">IFERROR(
  COUNTIFS(Attendance_data!$B$4:$B$1000,V$4,
    INDIRECT("Attendance_data!" &amp; ADDRESS(4, MATCH($B38, Attendance_data!$E$3:$BI$3, 0) + 4) &amp; ":" &amp;
             ADDRESS(1000, MATCH($B38, Attendance_data!$E$3:$BI$3, 0) + 4)),
    "P"
  )
  /
  (
    COUNTIFS(
      Attendance_data!$B$4:$B$1000,V$4,
      INDIRECT("Attendance_data!" &amp; ADDRESS(4, MATCH($B38, Attendance_data!$E$3:$BI$3, 0) + 4) &amp; ":" &amp;
               ADDRESS(1000, MATCH($B38, Attendance_data!$E$3:$BI$3, 0) + 4)),
      "P"
    )
    +
    COUNTIFS(
      Attendance_data!$B$4:$B$1000,V$4,
      INDIRECT("Attendance_data!" &amp; ADDRESS(4, MATCH($B38, Attendance_data!$E$3:$BI$3, 0) + 4) &amp; ":" &amp;
               ADDRESS(1000, MATCH($B38, Attendance_data!$E$3:$BI$3, 0) + 4)),
      "A"
    )
  ),"")</f>
        <v/>
      </c>
      <c r="W38" s="18" t="str">
        <f t="array" ref="W38">IFERROR(
  COUNTIFS(Attendance_data!$B$4:$B$1000,W$4,
    INDIRECT("Attendance_data!" &amp; ADDRESS(4, MATCH($B38, Attendance_data!$E$3:$BI$3, 0) + 4) &amp; ":" &amp;
             ADDRESS(1000, MATCH($B38, Attendance_data!$E$3:$BI$3, 0) + 4)),
    "P"
  )
  /
  (
    COUNTIFS(
      Attendance_data!$B$4:$B$1000,W$4,
      INDIRECT("Attendance_data!" &amp; ADDRESS(4, MATCH($B38, Attendance_data!$E$3:$BI$3, 0) + 4) &amp; ":" &amp;
               ADDRESS(1000, MATCH($B38, Attendance_data!$E$3:$BI$3, 0) + 4)),
      "P"
    )
    +
    COUNTIFS(
      Attendance_data!$B$4:$B$1000,W$4,
      INDIRECT("Attendance_data!" &amp; ADDRESS(4, MATCH($B38, Attendance_data!$E$3:$BI$3, 0) + 4) &amp; ":" &amp;
               ADDRESS(1000, MATCH($B38, Attendance_data!$E$3:$BI$3, 0) + 4)),
      "A"
    )
  ),"")</f>
        <v/>
      </c>
      <c r="X38" s="18" t="str">
        <f t="array" ref="X38">IFERROR(
  COUNTIFS(Attendance_data!$B$4:$B$1000,X$4,
    INDIRECT("Attendance_data!" &amp; ADDRESS(4, MATCH($B38, Attendance_data!$E$3:$BI$3, 0) + 4) &amp; ":" &amp;
             ADDRESS(1000, MATCH($B38, Attendance_data!$E$3:$BI$3, 0) + 4)),
    "P"
  )
  /
  (
    COUNTIFS(
      Attendance_data!$B$4:$B$1000,X$4,
      INDIRECT("Attendance_data!" &amp; ADDRESS(4, MATCH($B38, Attendance_data!$E$3:$BI$3, 0) + 4) &amp; ":" &amp;
               ADDRESS(1000, MATCH($B38, Attendance_data!$E$3:$BI$3, 0) + 4)),
      "P"
    )
    +
    COUNTIFS(
      Attendance_data!$B$4:$B$1000,X$4,
      INDIRECT("Attendance_data!" &amp; ADDRESS(4, MATCH($B38, Attendance_data!$E$3:$BI$3, 0) + 4) &amp; ":" &amp;
               ADDRESS(1000, MATCH($B38, Attendance_data!$E$3:$BI$3, 0) + 4)),
      "A"
    )
  ),"")</f>
        <v/>
      </c>
      <c r="Y38" s="18" t="str">
        <f t="array" ref="Y38">IFERROR(
  COUNTIFS(Attendance_data!$B$4:$B$1000,Y$4,
    INDIRECT("Attendance_data!" &amp; ADDRESS(4, MATCH($B38, Attendance_data!$E$3:$BI$3, 0) + 4) &amp; ":" &amp;
             ADDRESS(1000, MATCH($B38, Attendance_data!$E$3:$BI$3, 0) + 4)),
    "P"
  )
  /
  (
    COUNTIFS(
      Attendance_data!$B$4:$B$1000,Y$4,
      INDIRECT("Attendance_data!" &amp; ADDRESS(4, MATCH($B38, Attendance_data!$E$3:$BI$3, 0) + 4) &amp; ":" &amp;
               ADDRESS(1000, MATCH($B38, Attendance_data!$E$3:$BI$3, 0) + 4)),
      "P"
    )
    +
    COUNTIFS(
      Attendance_data!$B$4:$B$1000,Y$4,
      INDIRECT("Attendance_data!" &amp; ADDRESS(4, MATCH($B38, Attendance_data!$E$3:$BI$3, 0) + 4) &amp; ":" &amp;
               ADDRESS(1000, MATCH($B38, Attendance_data!$E$3:$BI$3, 0) + 4)),
      "A"
    )
  ),"")</f>
        <v/>
      </c>
      <c r="Z38" s="18" t="str">
        <f t="array" ref="Z38">IFERROR(
  COUNTIFS(Attendance_data!$B$4:$B$1000,Z$4,
    INDIRECT("Attendance_data!" &amp; ADDRESS(4, MATCH($B38, Attendance_data!$E$3:$BI$3, 0) + 4) &amp; ":" &amp;
             ADDRESS(1000, MATCH($B38, Attendance_data!$E$3:$BI$3, 0) + 4)),
    "P"
  )
  /
  (
    COUNTIFS(
      Attendance_data!$B$4:$B$1000,Z$4,
      INDIRECT("Attendance_data!" &amp; ADDRESS(4, MATCH($B38, Attendance_data!$E$3:$BI$3, 0) + 4) &amp; ":" &amp;
               ADDRESS(1000, MATCH($B38, Attendance_data!$E$3:$BI$3, 0) + 4)),
      "P"
    )
    +
    COUNTIFS(
      Attendance_data!$B$4:$B$1000,Z$4,
      INDIRECT("Attendance_data!" &amp; ADDRESS(4, MATCH($B38, Attendance_data!$E$3:$BI$3, 0) + 4) &amp; ":" &amp;
               ADDRESS(1000, MATCH($B38, Attendance_data!$E$3:$BI$3, 0) + 4)),
      "A"
    )
  ),"")</f>
        <v/>
      </c>
      <c r="AA38" s="18" t="str">
        <f t="array" ref="AA38">IFERROR(
  COUNTIFS(Attendance_data!$B$4:$B$1000,AA$4,
    INDIRECT("Attendance_data!" &amp; ADDRESS(4, MATCH($B38, Attendance_data!$E$3:$BI$3, 0) + 4) &amp; ":" &amp;
             ADDRESS(1000, MATCH($B38, Attendance_data!$E$3:$BI$3, 0) + 4)),
    "P"
  )
  /
  (
    COUNTIFS(
      Attendance_data!$B$4:$B$1000,AA$4,
      INDIRECT("Attendance_data!" &amp; ADDRESS(4, MATCH($B38, Attendance_data!$E$3:$BI$3, 0) + 4) &amp; ":" &amp;
               ADDRESS(1000, MATCH($B38, Attendance_data!$E$3:$BI$3, 0) + 4)),
      "P"
    )
    +
    COUNTIFS(
      Attendance_data!$B$4:$B$1000,AA$4,
      INDIRECT("Attendance_data!" &amp; ADDRESS(4, MATCH($B38, Attendance_data!$E$3:$BI$3, 0) + 4) &amp; ":" &amp;
               ADDRESS(1000, MATCH($B38, Attendance_data!$E$3:$BI$3, 0) + 4)),
      "A"
    )
  ),"")</f>
        <v/>
      </c>
      <c r="AB38" s="19" t="str">
        <f t="shared" si="3"/>
        <v>#DIV/0!</v>
      </c>
      <c r="AC38" s="1"/>
      <c r="AD38" s="1"/>
      <c r="AE38" s="1"/>
      <c r="AF38" s="1"/>
      <c r="AG38" s="1"/>
      <c r="AH38" s="1"/>
    </row>
    <row r="39">
      <c r="A39" s="14">
        <f t="shared" si="2"/>
        <v>35</v>
      </c>
      <c r="B39" s="23"/>
      <c r="C39" s="23"/>
      <c r="D39" s="23"/>
      <c r="E39" s="23"/>
      <c r="F39" s="23"/>
      <c r="G39" s="24"/>
      <c r="H39" s="23"/>
      <c r="I39" s="2"/>
      <c r="J39" s="1"/>
      <c r="K39" s="1"/>
      <c r="L39" s="1"/>
      <c r="M39" s="1"/>
      <c r="N39" s="1"/>
      <c r="O39" s="1"/>
      <c r="P39" s="18" t="str">
        <f t="array" ref="P39">IFERROR(
  COUNTIFS(Attendance_data!$B$4:$B$1000,P$4,
    INDIRECT("Attendance_data!" &amp; ADDRESS(4, MATCH($B39, Attendance_data!$E$3:$BI$3, 0) + 4) &amp; ":" &amp;
             ADDRESS(1000, MATCH($B39, Attendance_data!$E$3:$BI$3, 0) + 4)),
    "P"
  )
  /
  (
    COUNTIFS(
      Attendance_data!$B$4:$B$1000,P$4,
      INDIRECT("Attendance_data!" &amp; ADDRESS(4, MATCH($B39, Attendance_data!$E$3:$BI$3, 0) + 4) &amp; ":" &amp;
               ADDRESS(1000, MATCH($B39, Attendance_data!$E$3:$BI$3, 0) + 4)),
      "P"
    )
    +
    COUNTIFS(
      Attendance_data!$B$4:$B$1000,P$4,
      INDIRECT("Attendance_data!" &amp; ADDRESS(4, MATCH($B39, Attendance_data!$E$3:$BI$3, 0) + 4) &amp; ":" &amp;
               ADDRESS(1000, MATCH($B39, Attendance_data!$E$3:$BI$3, 0) + 4)),
      "A"
    )
  ),"")</f>
        <v/>
      </c>
      <c r="Q39" s="18" t="str">
        <f t="array" ref="Q39">IFERROR(
  COUNTIFS(Attendance_data!$B$4:$B$1000,Q$4,
    INDIRECT("Attendance_data!" &amp; ADDRESS(4, MATCH($B39, Attendance_data!$E$3:$BI$3, 0) + 4) &amp; ":" &amp;
             ADDRESS(1000, MATCH($B39, Attendance_data!$E$3:$BI$3, 0) + 4)),
    "P"
  )
  /
  (
    COUNTIFS(
      Attendance_data!$B$4:$B$1000,Q$4,
      INDIRECT("Attendance_data!" &amp; ADDRESS(4, MATCH($B39, Attendance_data!$E$3:$BI$3, 0) + 4) &amp; ":" &amp;
               ADDRESS(1000, MATCH($B39, Attendance_data!$E$3:$BI$3, 0) + 4)),
      "P"
    )
    +
    COUNTIFS(
      Attendance_data!$B$4:$B$1000,Q$4,
      INDIRECT("Attendance_data!" &amp; ADDRESS(4, MATCH($B39, Attendance_data!$E$3:$BI$3, 0) + 4) &amp; ":" &amp;
               ADDRESS(1000, MATCH($B39, Attendance_data!$E$3:$BI$3, 0) + 4)),
      "A"
    )
  ),"")</f>
        <v/>
      </c>
      <c r="R39" s="18" t="str">
        <f t="array" ref="R39">IFERROR(
  COUNTIFS(Attendance_data!$B$4:$B$1000,R$4,
    INDIRECT("Attendance_data!" &amp; ADDRESS(4, MATCH($B39, Attendance_data!$E$3:$BI$3, 0) + 4) &amp; ":" &amp;
             ADDRESS(1000, MATCH($B39, Attendance_data!$E$3:$BI$3, 0) + 4)),
    "P"
  )
  /
  (
    COUNTIFS(
      Attendance_data!$B$4:$B$1000,R$4,
      INDIRECT("Attendance_data!" &amp; ADDRESS(4, MATCH($B39, Attendance_data!$E$3:$BI$3, 0) + 4) &amp; ":" &amp;
               ADDRESS(1000, MATCH($B39, Attendance_data!$E$3:$BI$3, 0) + 4)),
      "P"
    )
    +
    COUNTIFS(
      Attendance_data!$B$4:$B$1000,R$4,
      INDIRECT("Attendance_data!" &amp; ADDRESS(4, MATCH($B39, Attendance_data!$E$3:$BI$3, 0) + 4) &amp; ":" &amp;
               ADDRESS(1000, MATCH($B39, Attendance_data!$E$3:$BI$3, 0) + 4)),
      "A"
    )
  ),"")</f>
        <v/>
      </c>
      <c r="S39" s="18" t="str">
        <f t="array" ref="S39">IFERROR(
  COUNTIFS(Attendance_data!$B$4:$B$1000,S$4,
    INDIRECT("Attendance_data!" &amp; ADDRESS(4, MATCH($B39, Attendance_data!$E$3:$BI$3, 0) + 4) &amp; ":" &amp;
             ADDRESS(1000, MATCH($B39, Attendance_data!$E$3:$BI$3, 0) + 4)),
    "P"
  )
  /
  (
    COUNTIFS(
      Attendance_data!$B$4:$B$1000,S$4,
      INDIRECT("Attendance_data!" &amp; ADDRESS(4, MATCH($B39, Attendance_data!$E$3:$BI$3, 0) + 4) &amp; ":" &amp;
               ADDRESS(1000, MATCH($B39, Attendance_data!$E$3:$BI$3, 0) + 4)),
      "P"
    )
    +
    COUNTIFS(
      Attendance_data!$B$4:$B$1000,S$4,
      INDIRECT("Attendance_data!" &amp; ADDRESS(4, MATCH($B39, Attendance_data!$E$3:$BI$3, 0) + 4) &amp; ":" &amp;
               ADDRESS(1000, MATCH($B39, Attendance_data!$E$3:$BI$3, 0) + 4)),
      "A"
    )
  ),"")</f>
        <v/>
      </c>
      <c r="T39" s="18" t="str">
        <f t="array" ref="T39">IFERROR(
  COUNTIFS(Attendance_data!$B$4:$B$1000,T$4,
    INDIRECT("Attendance_data!" &amp; ADDRESS(4, MATCH($B39, Attendance_data!$E$3:$BI$3, 0) + 4) &amp; ":" &amp;
             ADDRESS(1000, MATCH($B39, Attendance_data!$E$3:$BI$3, 0) + 4)),
    "P"
  )
  /
  (
    COUNTIFS(
      Attendance_data!$B$4:$B$1000,T$4,
      INDIRECT("Attendance_data!" &amp; ADDRESS(4, MATCH($B39, Attendance_data!$E$3:$BI$3, 0) + 4) &amp; ":" &amp;
               ADDRESS(1000, MATCH($B39, Attendance_data!$E$3:$BI$3, 0) + 4)),
      "P"
    )
    +
    COUNTIFS(
      Attendance_data!$B$4:$B$1000,T$4,
      INDIRECT("Attendance_data!" &amp; ADDRESS(4, MATCH($B39, Attendance_data!$E$3:$BI$3, 0) + 4) &amp; ":" &amp;
               ADDRESS(1000, MATCH($B39, Attendance_data!$E$3:$BI$3, 0) + 4)),
      "A"
    )
  ),"")</f>
        <v/>
      </c>
      <c r="U39" s="18" t="str">
        <f t="array" ref="U39">IFERROR(
  COUNTIFS(Attendance_data!$B$4:$B$1000,U$4,
    INDIRECT("Attendance_data!" &amp; ADDRESS(4, MATCH($B39, Attendance_data!$E$3:$BI$3, 0) + 4) &amp; ":" &amp;
             ADDRESS(1000, MATCH($B39, Attendance_data!$E$3:$BI$3, 0) + 4)),
    "P"
  )
  /
  (
    COUNTIFS(
      Attendance_data!$B$4:$B$1000,U$4,
      INDIRECT("Attendance_data!" &amp; ADDRESS(4, MATCH($B39, Attendance_data!$E$3:$BI$3, 0) + 4) &amp; ":" &amp;
               ADDRESS(1000, MATCH($B39, Attendance_data!$E$3:$BI$3, 0) + 4)),
      "P"
    )
    +
    COUNTIFS(
      Attendance_data!$B$4:$B$1000,U$4,
      INDIRECT("Attendance_data!" &amp; ADDRESS(4, MATCH($B39, Attendance_data!$E$3:$BI$3, 0) + 4) &amp; ":" &amp;
               ADDRESS(1000, MATCH($B39, Attendance_data!$E$3:$BI$3, 0) + 4)),
      "A"
    )
  ),"")</f>
        <v/>
      </c>
      <c r="V39" s="18" t="str">
        <f t="array" ref="V39">IFERROR(
  COUNTIFS(Attendance_data!$B$4:$B$1000,V$4,
    INDIRECT("Attendance_data!" &amp; ADDRESS(4, MATCH($B39, Attendance_data!$E$3:$BI$3, 0) + 4) &amp; ":" &amp;
             ADDRESS(1000, MATCH($B39, Attendance_data!$E$3:$BI$3, 0) + 4)),
    "P"
  )
  /
  (
    COUNTIFS(
      Attendance_data!$B$4:$B$1000,V$4,
      INDIRECT("Attendance_data!" &amp; ADDRESS(4, MATCH($B39, Attendance_data!$E$3:$BI$3, 0) + 4) &amp; ":" &amp;
               ADDRESS(1000, MATCH($B39, Attendance_data!$E$3:$BI$3, 0) + 4)),
      "P"
    )
    +
    COUNTIFS(
      Attendance_data!$B$4:$B$1000,V$4,
      INDIRECT("Attendance_data!" &amp; ADDRESS(4, MATCH($B39, Attendance_data!$E$3:$BI$3, 0) + 4) &amp; ":" &amp;
               ADDRESS(1000, MATCH($B39, Attendance_data!$E$3:$BI$3, 0) + 4)),
      "A"
    )
  ),"")</f>
        <v/>
      </c>
      <c r="W39" s="18" t="str">
        <f t="array" ref="W39">IFERROR(
  COUNTIFS(Attendance_data!$B$4:$B$1000,W$4,
    INDIRECT("Attendance_data!" &amp; ADDRESS(4, MATCH($B39, Attendance_data!$E$3:$BI$3, 0) + 4) &amp; ":" &amp;
             ADDRESS(1000, MATCH($B39, Attendance_data!$E$3:$BI$3, 0) + 4)),
    "P"
  )
  /
  (
    COUNTIFS(
      Attendance_data!$B$4:$B$1000,W$4,
      INDIRECT("Attendance_data!" &amp; ADDRESS(4, MATCH($B39, Attendance_data!$E$3:$BI$3, 0) + 4) &amp; ":" &amp;
               ADDRESS(1000, MATCH($B39, Attendance_data!$E$3:$BI$3, 0) + 4)),
      "P"
    )
    +
    COUNTIFS(
      Attendance_data!$B$4:$B$1000,W$4,
      INDIRECT("Attendance_data!" &amp; ADDRESS(4, MATCH($B39, Attendance_data!$E$3:$BI$3, 0) + 4) &amp; ":" &amp;
               ADDRESS(1000, MATCH($B39, Attendance_data!$E$3:$BI$3, 0) + 4)),
      "A"
    )
  ),"")</f>
        <v/>
      </c>
      <c r="X39" s="18" t="str">
        <f t="array" ref="X39">IFERROR(
  COUNTIFS(Attendance_data!$B$4:$B$1000,X$4,
    INDIRECT("Attendance_data!" &amp; ADDRESS(4, MATCH($B39, Attendance_data!$E$3:$BI$3, 0) + 4) &amp; ":" &amp;
             ADDRESS(1000, MATCH($B39, Attendance_data!$E$3:$BI$3, 0) + 4)),
    "P"
  )
  /
  (
    COUNTIFS(
      Attendance_data!$B$4:$B$1000,X$4,
      INDIRECT("Attendance_data!" &amp; ADDRESS(4, MATCH($B39, Attendance_data!$E$3:$BI$3, 0) + 4) &amp; ":" &amp;
               ADDRESS(1000, MATCH($B39, Attendance_data!$E$3:$BI$3, 0) + 4)),
      "P"
    )
    +
    COUNTIFS(
      Attendance_data!$B$4:$B$1000,X$4,
      INDIRECT("Attendance_data!" &amp; ADDRESS(4, MATCH($B39, Attendance_data!$E$3:$BI$3, 0) + 4) &amp; ":" &amp;
               ADDRESS(1000, MATCH($B39, Attendance_data!$E$3:$BI$3, 0) + 4)),
      "A"
    )
  ),"")</f>
        <v/>
      </c>
      <c r="Y39" s="18" t="str">
        <f t="array" ref="Y39">IFERROR(
  COUNTIFS(Attendance_data!$B$4:$B$1000,Y$4,
    INDIRECT("Attendance_data!" &amp; ADDRESS(4, MATCH($B39, Attendance_data!$E$3:$BI$3, 0) + 4) &amp; ":" &amp;
             ADDRESS(1000, MATCH($B39, Attendance_data!$E$3:$BI$3, 0) + 4)),
    "P"
  )
  /
  (
    COUNTIFS(
      Attendance_data!$B$4:$B$1000,Y$4,
      INDIRECT("Attendance_data!" &amp; ADDRESS(4, MATCH($B39, Attendance_data!$E$3:$BI$3, 0) + 4) &amp; ":" &amp;
               ADDRESS(1000, MATCH($B39, Attendance_data!$E$3:$BI$3, 0) + 4)),
      "P"
    )
    +
    COUNTIFS(
      Attendance_data!$B$4:$B$1000,Y$4,
      INDIRECT("Attendance_data!" &amp; ADDRESS(4, MATCH($B39, Attendance_data!$E$3:$BI$3, 0) + 4) &amp; ":" &amp;
               ADDRESS(1000, MATCH($B39, Attendance_data!$E$3:$BI$3, 0) + 4)),
      "A"
    )
  ),"")</f>
        <v/>
      </c>
      <c r="Z39" s="18" t="str">
        <f t="array" ref="Z39">IFERROR(
  COUNTIFS(Attendance_data!$B$4:$B$1000,Z$4,
    INDIRECT("Attendance_data!" &amp; ADDRESS(4, MATCH($B39, Attendance_data!$E$3:$BI$3, 0) + 4) &amp; ":" &amp;
             ADDRESS(1000, MATCH($B39, Attendance_data!$E$3:$BI$3, 0) + 4)),
    "P"
  )
  /
  (
    COUNTIFS(
      Attendance_data!$B$4:$B$1000,Z$4,
      INDIRECT("Attendance_data!" &amp; ADDRESS(4, MATCH($B39, Attendance_data!$E$3:$BI$3, 0) + 4) &amp; ":" &amp;
               ADDRESS(1000, MATCH($B39, Attendance_data!$E$3:$BI$3, 0) + 4)),
      "P"
    )
    +
    COUNTIFS(
      Attendance_data!$B$4:$B$1000,Z$4,
      INDIRECT("Attendance_data!" &amp; ADDRESS(4, MATCH($B39, Attendance_data!$E$3:$BI$3, 0) + 4) &amp; ":" &amp;
               ADDRESS(1000, MATCH($B39, Attendance_data!$E$3:$BI$3, 0) + 4)),
      "A"
    )
  ),"")</f>
        <v/>
      </c>
      <c r="AA39" s="18" t="str">
        <f t="array" ref="AA39">IFERROR(
  COUNTIFS(Attendance_data!$B$4:$B$1000,AA$4,
    INDIRECT("Attendance_data!" &amp; ADDRESS(4, MATCH($B39, Attendance_data!$E$3:$BI$3, 0) + 4) &amp; ":" &amp;
             ADDRESS(1000, MATCH($B39, Attendance_data!$E$3:$BI$3, 0) + 4)),
    "P"
  )
  /
  (
    COUNTIFS(
      Attendance_data!$B$4:$B$1000,AA$4,
      INDIRECT("Attendance_data!" &amp; ADDRESS(4, MATCH($B39, Attendance_data!$E$3:$BI$3, 0) + 4) &amp; ":" &amp;
               ADDRESS(1000, MATCH($B39, Attendance_data!$E$3:$BI$3, 0) + 4)),
      "P"
    )
    +
    COUNTIFS(
      Attendance_data!$B$4:$B$1000,AA$4,
      INDIRECT("Attendance_data!" &amp; ADDRESS(4, MATCH($B39, Attendance_data!$E$3:$BI$3, 0) + 4) &amp; ":" &amp;
               ADDRESS(1000, MATCH($B39, Attendance_data!$E$3:$BI$3, 0) + 4)),
      "A"
    )
  ),"")</f>
        <v/>
      </c>
      <c r="AB39" s="19" t="str">
        <f t="shared" si="3"/>
        <v>#DIV/0!</v>
      </c>
      <c r="AC39" s="1"/>
      <c r="AD39" s="1"/>
      <c r="AE39" s="1"/>
      <c r="AF39" s="1"/>
      <c r="AG39" s="1"/>
      <c r="AH39" s="1"/>
    </row>
    <row r="40">
      <c r="A40" s="14">
        <f t="shared" si="2"/>
        <v>36</v>
      </c>
      <c r="B40" s="23"/>
      <c r="C40" s="23"/>
      <c r="D40" s="23"/>
      <c r="E40" s="23"/>
      <c r="F40" s="23"/>
      <c r="G40" s="24"/>
      <c r="H40" s="23"/>
      <c r="I40" s="2"/>
      <c r="J40" s="1"/>
      <c r="K40" s="1"/>
      <c r="L40" s="1"/>
      <c r="M40" s="1"/>
      <c r="N40" s="1"/>
      <c r="O40" s="1"/>
      <c r="P40" s="18" t="str">
        <f t="array" ref="P40">IFERROR(
  COUNTIFS(Attendance_data!$B$4:$B$1000,P$4,
    INDIRECT("Attendance_data!" &amp; ADDRESS(4, MATCH($B40, Attendance_data!$E$3:$BI$3, 0) + 4) &amp; ":" &amp;
             ADDRESS(1000, MATCH($B40, Attendance_data!$E$3:$BI$3, 0) + 4)),
    "P"
  )
  /
  (
    COUNTIFS(
      Attendance_data!$B$4:$B$1000,P$4,
      INDIRECT("Attendance_data!" &amp; ADDRESS(4, MATCH($B40, Attendance_data!$E$3:$BI$3, 0) + 4) &amp; ":" &amp;
               ADDRESS(1000, MATCH($B40, Attendance_data!$E$3:$BI$3, 0) + 4)),
      "P"
    )
    +
    COUNTIFS(
      Attendance_data!$B$4:$B$1000,P$4,
      INDIRECT("Attendance_data!" &amp; ADDRESS(4, MATCH($B40, Attendance_data!$E$3:$BI$3, 0) + 4) &amp; ":" &amp;
               ADDRESS(1000, MATCH($B40, Attendance_data!$E$3:$BI$3, 0) + 4)),
      "A"
    )
  ),"")</f>
        <v/>
      </c>
      <c r="Q40" s="18" t="str">
        <f t="array" ref="Q40">IFERROR(
  COUNTIFS(Attendance_data!$B$4:$B$1000,Q$4,
    INDIRECT("Attendance_data!" &amp; ADDRESS(4, MATCH($B40, Attendance_data!$E$3:$BI$3, 0) + 4) &amp; ":" &amp;
             ADDRESS(1000, MATCH($B40, Attendance_data!$E$3:$BI$3, 0) + 4)),
    "P"
  )
  /
  (
    COUNTIFS(
      Attendance_data!$B$4:$B$1000,Q$4,
      INDIRECT("Attendance_data!" &amp; ADDRESS(4, MATCH($B40, Attendance_data!$E$3:$BI$3, 0) + 4) &amp; ":" &amp;
               ADDRESS(1000, MATCH($B40, Attendance_data!$E$3:$BI$3, 0) + 4)),
      "P"
    )
    +
    COUNTIFS(
      Attendance_data!$B$4:$B$1000,Q$4,
      INDIRECT("Attendance_data!" &amp; ADDRESS(4, MATCH($B40, Attendance_data!$E$3:$BI$3, 0) + 4) &amp; ":" &amp;
               ADDRESS(1000, MATCH($B40, Attendance_data!$E$3:$BI$3, 0) + 4)),
      "A"
    )
  ),"")</f>
        <v/>
      </c>
      <c r="R40" s="18" t="str">
        <f t="array" ref="R40">IFERROR(
  COUNTIFS(Attendance_data!$B$4:$B$1000,R$4,
    INDIRECT("Attendance_data!" &amp; ADDRESS(4, MATCH($B40, Attendance_data!$E$3:$BI$3, 0) + 4) &amp; ":" &amp;
             ADDRESS(1000, MATCH($B40, Attendance_data!$E$3:$BI$3, 0) + 4)),
    "P"
  )
  /
  (
    COUNTIFS(
      Attendance_data!$B$4:$B$1000,R$4,
      INDIRECT("Attendance_data!" &amp; ADDRESS(4, MATCH($B40, Attendance_data!$E$3:$BI$3, 0) + 4) &amp; ":" &amp;
               ADDRESS(1000, MATCH($B40, Attendance_data!$E$3:$BI$3, 0) + 4)),
      "P"
    )
    +
    COUNTIFS(
      Attendance_data!$B$4:$B$1000,R$4,
      INDIRECT("Attendance_data!" &amp; ADDRESS(4, MATCH($B40, Attendance_data!$E$3:$BI$3, 0) + 4) &amp; ":" &amp;
               ADDRESS(1000, MATCH($B40, Attendance_data!$E$3:$BI$3, 0) + 4)),
      "A"
    )
  ),"")</f>
        <v/>
      </c>
      <c r="S40" s="18" t="str">
        <f t="array" ref="S40">IFERROR(
  COUNTIFS(Attendance_data!$B$4:$B$1000,S$4,
    INDIRECT("Attendance_data!" &amp; ADDRESS(4, MATCH($B40, Attendance_data!$E$3:$BI$3, 0) + 4) &amp; ":" &amp;
             ADDRESS(1000, MATCH($B40, Attendance_data!$E$3:$BI$3, 0) + 4)),
    "P"
  )
  /
  (
    COUNTIFS(
      Attendance_data!$B$4:$B$1000,S$4,
      INDIRECT("Attendance_data!" &amp; ADDRESS(4, MATCH($B40, Attendance_data!$E$3:$BI$3, 0) + 4) &amp; ":" &amp;
               ADDRESS(1000, MATCH($B40, Attendance_data!$E$3:$BI$3, 0) + 4)),
      "P"
    )
    +
    COUNTIFS(
      Attendance_data!$B$4:$B$1000,S$4,
      INDIRECT("Attendance_data!" &amp; ADDRESS(4, MATCH($B40, Attendance_data!$E$3:$BI$3, 0) + 4) &amp; ":" &amp;
               ADDRESS(1000, MATCH($B40, Attendance_data!$E$3:$BI$3, 0) + 4)),
      "A"
    )
  ),"")</f>
        <v/>
      </c>
      <c r="T40" s="18" t="str">
        <f t="array" ref="T40">IFERROR(
  COUNTIFS(Attendance_data!$B$4:$B$1000,T$4,
    INDIRECT("Attendance_data!" &amp; ADDRESS(4, MATCH($B40, Attendance_data!$E$3:$BI$3, 0) + 4) &amp; ":" &amp;
             ADDRESS(1000, MATCH($B40, Attendance_data!$E$3:$BI$3, 0) + 4)),
    "P"
  )
  /
  (
    COUNTIFS(
      Attendance_data!$B$4:$B$1000,T$4,
      INDIRECT("Attendance_data!" &amp; ADDRESS(4, MATCH($B40, Attendance_data!$E$3:$BI$3, 0) + 4) &amp; ":" &amp;
               ADDRESS(1000, MATCH($B40, Attendance_data!$E$3:$BI$3, 0) + 4)),
      "P"
    )
    +
    COUNTIFS(
      Attendance_data!$B$4:$B$1000,T$4,
      INDIRECT("Attendance_data!" &amp; ADDRESS(4, MATCH($B40, Attendance_data!$E$3:$BI$3, 0) + 4) &amp; ":" &amp;
               ADDRESS(1000, MATCH($B40, Attendance_data!$E$3:$BI$3, 0) + 4)),
      "A"
    )
  ),"")</f>
        <v/>
      </c>
      <c r="U40" s="18" t="str">
        <f t="array" ref="U40">IFERROR(
  COUNTIFS(Attendance_data!$B$4:$B$1000,U$4,
    INDIRECT("Attendance_data!" &amp; ADDRESS(4, MATCH($B40, Attendance_data!$E$3:$BI$3, 0) + 4) &amp; ":" &amp;
             ADDRESS(1000, MATCH($B40, Attendance_data!$E$3:$BI$3, 0) + 4)),
    "P"
  )
  /
  (
    COUNTIFS(
      Attendance_data!$B$4:$B$1000,U$4,
      INDIRECT("Attendance_data!" &amp; ADDRESS(4, MATCH($B40, Attendance_data!$E$3:$BI$3, 0) + 4) &amp; ":" &amp;
               ADDRESS(1000, MATCH($B40, Attendance_data!$E$3:$BI$3, 0) + 4)),
      "P"
    )
    +
    COUNTIFS(
      Attendance_data!$B$4:$B$1000,U$4,
      INDIRECT("Attendance_data!" &amp; ADDRESS(4, MATCH($B40, Attendance_data!$E$3:$BI$3, 0) + 4) &amp; ":" &amp;
               ADDRESS(1000, MATCH($B40, Attendance_data!$E$3:$BI$3, 0) + 4)),
      "A"
    )
  ),"")</f>
        <v/>
      </c>
      <c r="V40" s="18" t="str">
        <f t="array" ref="V40">IFERROR(
  COUNTIFS(Attendance_data!$B$4:$B$1000,V$4,
    INDIRECT("Attendance_data!" &amp; ADDRESS(4, MATCH($B40, Attendance_data!$E$3:$BI$3, 0) + 4) &amp; ":" &amp;
             ADDRESS(1000, MATCH($B40, Attendance_data!$E$3:$BI$3, 0) + 4)),
    "P"
  )
  /
  (
    COUNTIFS(
      Attendance_data!$B$4:$B$1000,V$4,
      INDIRECT("Attendance_data!" &amp; ADDRESS(4, MATCH($B40, Attendance_data!$E$3:$BI$3, 0) + 4) &amp; ":" &amp;
               ADDRESS(1000, MATCH($B40, Attendance_data!$E$3:$BI$3, 0) + 4)),
      "P"
    )
    +
    COUNTIFS(
      Attendance_data!$B$4:$B$1000,V$4,
      INDIRECT("Attendance_data!" &amp; ADDRESS(4, MATCH($B40, Attendance_data!$E$3:$BI$3, 0) + 4) &amp; ":" &amp;
               ADDRESS(1000, MATCH($B40, Attendance_data!$E$3:$BI$3, 0) + 4)),
      "A"
    )
  ),"")</f>
        <v/>
      </c>
      <c r="W40" s="18" t="str">
        <f t="array" ref="W40">IFERROR(
  COUNTIFS(Attendance_data!$B$4:$B$1000,W$4,
    INDIRECT("Attendance_data!" &amp; ADDRESS(4, MATCH($B40, Attendance_data!$E$3:$BI$3, 0) + 4) &amp; ":" &amp;
             ADDRESS(1000, MATCH($B40, Attendance_data!$E$3:$BI$3, 0) + 4)),
    "P"
  )
  /
  (
    COUNTIFS(
      Attendance_data!$B$4:$B$1000,W$4,
      INDIRECT("Attendance_data!" &amp; ADDRESS(4, MATCH($B40, Attendance_data!$E$3:$BI$3, 0) + 4) &amp; ":" &amp;
               ADDRESS(1000, MATCH($B40, Attendance_data!$E$3:$BI$3, 0) + 4)),
      "P"
    )
    +
    COUNTIFS(
      Attendance_data!$B$4:$B$1000,W$4,
      INDIRECT("Attendance_data!" &amp; ADDRESS(4, MATCH($B40, Attendance_data!$E$3:$BI$3, 0) + 4) &amp; ":" &amp;
               ADDRESS(1000, MATCH($B40, Attendance_data!$E$3:$BI$3, 0) + 4)),
      "A"
    )
  ),"")</f>
        <v/>
      </c>
      <c r="X40" s="18" t="str">
        <f t="array" ref="X40">IFERROR(
  COUNTIFS(Attendance_data!$B$4:$B$1000,X$4,
    INDIRECT("Attendance_data!" &amp; ADDRESS(4, MATCH($B40, Attendance_data!$E$3:$BI$3, 0) + 4) &amp; ":" &amp;
             ADDRESS(1000, MATCH($B40, Attendance_data!$E$3:$BI$3, 0) + 4)),
    "P"
  )
  /
  (
    COUNTIFS(
      Attendance_data!$B$4:$B$1000,X$4,
      INDIRECT("Attendance_data!" &amp; ADDRESS(4, MATCH($B40, Attendance_data!$E$3:$BI$3, 0) + 4) &amp; ":" &amp;
               ADDRESS(1000, MATCH($B40, Attendance_data!$E$3:$BI$3, 0) + 4)),
      "P"
    )
    +
    COUNTIFS(
      Attendance_data!$B$4:$B$1000,X$4,
      INDIRECT("Attendance_data!" &amp; ADDRESS(4, MATCH($B40, Attendance_data!$E$3:$BI$3, 0) + 4) &amp; ":" &amp;
               ADDRESS(1000, MATCH($B40, Attendance_data!$E$3:$BI$3, 0) + 4)),
      "A"
    )
  ),"")</f>
        <v/>
      </c>
      <c r="Y40" s="18" t="str">
        <f t="array" ref="Y40">IFERROR(
  COUNTIFS(Attendance_data!$B$4:$B$1000,Y$4,
    INDIRECT("Attendance_data!" &amp; ADDRESS(4, MATCH($B40, Attendance_data!$E$3:$BI$3, 0) + 4) &amp; ":" &amp;
             ADDRESS(1000, MATCH($B40, Attendance_data!$E$3:$BI$3, 0) + 4)),
    "P"
  )
  /
  (
    COUNTIFS(
      Attendance_data!$B$4:$B$1000,Y$4,
      INDIRECT("Attendance_data!" &amp; ADDRESS(4, MATCH($B40, Attendance_data!$E$3:$BI$3, 0) + 4) &amp; ":" &amp;
               ADDRESS(1000, MATCH($B40, Attendance_data!$E$3:$BI$3, 0) + 4)),
      "P"
    )
    +
    COUNTIFS(
      Attendance_data!$B$4:$B$1000,Y$4,
      INDIRECT("Attendance_data!" &amp; ADDRESS(4, MATCH($B40, Attendance_data!$E$3:$BI$3, 0) + 4) &amp; ":" &amp;
               ADDRESS(1000, MATCH($B40, Attendance_data!$E$3:$BI$3, 0) + 4)),
      "A"
    )
  ),"")</f>
        <v/>
      </c>
      <c r="Z40" s="18" t="str">
        <f t="array" ref="Z40">IFERROR(
  COUNTIFS(Attendance_data!$B$4:$B$1000,Z$4,
    INDIRECT("Attendance_data!" &amp; ADDRESS(4, MATCH($B40, Attendance_data!$E$3:$BI$3, 0) + 4) &amp; ":" &amp;
             ADDRESS(1000, MATCH($B40, Attendance_data!$E$3:$BI$3, 0) + 4)),
    "P"
  )
  /
  (
    COUNTIFS(
      Attendance_data!$B$4:$B$1000,Z$4,
      INDIRECT("Attendance_data!" &amp; ADDRESS(4, MATCH($B40, Attendance_data!$E$3:$BI$3, 0) + 4) &amp; ":" &amp;
               ADDRESS(1000, MATCH($B40, Attendance_data!$E$3:$BI$3, 0) + 4)),
      "P"
    )
    +
    COUNTIFS(
      Attendance_data!$B$4:$B$1000,Z$4,
      INDIRECT("Attendance_data!" &amp; ADDRESS(4, MATCH($B40, Attendance_data!$E$3:$BI$3, 0) + 4) &amp; ":" &amp;
               ADDRESS(1000, MATCH($B40, Attendance_data!$E$3:$BI$3, 0) + 4)),
      "A"
    )
  ),"")</f>
        <v/>
      </c>
      <c r="AA40" s="18" t="str">
        <f t="array" ref="AA40">IFERROR(
  COUNTIFS(Attendance_data!$B$4:$B$1000,AA$4,
    INDIRECT("Attendance_data!" &amp; ADDRESS(4, MATCH($B40, Attendance_data!$E$3:$BI$3, 0) + 4) &amp; ":" &amp;
             ADDRESS(1000, MATCH($B40, Attendance_data!$E$3:$BI$3, 0) + 4)),
    "P"
  )
  /
  (
    COUNTIFS(
      Attendance_data!$B$4:$B$1000,AA$4,
      INDIRECT("Attendance_data!" &amp; ADDRESS(4, MATCH($B40, Attendance_data!$E$3:$BI$3, 0) + 4) &amp; ":" &amp;
               ADDRESS(1000, MATCH($B40, Attendance_data!$E$3:$BI$3, 0) + 4)),
      "P"
    )
    +
    COUNTIFS(
      Attendance_data!$B$4:$B$1000,AA$4,
      INDIRECT("Attendance_data!" &amp; ADDRESS(4, MATCH($B40, Attendance_data!$E$3:$BI$3, 0) + 4) &amp; ":" &amp;
               ADDRESS(1000, MATCH($B40, Attendance_data!$E$3:$BI$3, 0) + 4)),
      "A"
    )
  ),"")</f>
        <v/>
      </c>
      <c r="AB40" s="19" t="str">
        <f t="shared" si="3"/>
        <v>#DIV/0!</v>
      </c>
      <c r="AC40" s="1"/>
      <c r="AD40" s="1"/>
      <c r="AE40" s="1"/>
      <c r="AF40" s="1"/>
      <c r="AG40" s="1"/>
      <c r="AH40" s="1"/>
    </row>
    <row r="41">
      <c r="A41" s="14">
        <f t="shared" si="2"/>
        <v>37</v>
      </c>
      <c r="B41" s="23"/>
      <c r="C41" s="23"/>
      <c r="D41" s="23"/>
      <c r="E41" s="23"/>
      <c r="F41" s="23"/>
      <c r="G41" s="25"/>
      <c r="H41" s="23"/>
      <c r="I41" s="2"/>
      <c r="J41" s="1"/>
      <c r="K41" s="1"/>
      <c r="L41" s="1"/>
      <c r="M41" s="1"/>
      <c r="N41" s="1"/>
      <c r="O41" s="1"/>
      <c r="P41" s="18" t="str">
        <f t="array" ref="P41">IFERROR(
  COUNTIFS(Attendance_data!$B$4:$B$1000,P$4,
    INDIRECT("Attendance_data!" &amp; ADDRESS(4, MATCH($B41, Attendance_data!$E$3:$BI$3, 0) + 4) &amp; ":" &amp;
             ADDRESS(1000, MATCH($B41, Attendance_data!$E$3:$BI$3, 0) + 4)),
    "P"
  )
  /
  (
    COUNTIFS(
      Attendance_data!$B$4:$B$1000,P$4,
      INDIRECT("Attendance_data!" &amp; ADDRESS(4, MATCH($B41, Attendance_data!$E$3:$BI$3, 0) + 4) &amp; ":" &amp;
               ADDRESS(1000, MATCH($B41, Attendance_data!$E$3:$BI$3, 0) + 4)),
      "P"
    )
    +
    COUNTIFS(
      Attendance_data!$B$4:$B$1000,P$4,
      INDIRECT("Attendance_data!" &amp; ADDRESS(4, MATCH($B41, Attendance_data!$E$3:$BI$3, 0) + 4) &amp; ":" &amp;
               ADDRESS(1000, MATCH($B41, Attendance_data!$E$3:$BI$3, 0) + 4)),
      "A"
    )
  ),"")</f>
        <v/>
      </c>
      <c r="Q41" s="18" t="str">
        <f t="array" ref="Q41">IFERROR(
  COUNTIFS(Attendance_data!$B$4:$B$1000,Q$4,
    INDIRECT("Attendance_data!" &amp; ADDRESS(4, MATCH($B41, Attendance_data!$E$3:$BI$3, 0) + 4) &amp; ":" &amp;
             ADDRESS(1000, MATCH($B41, Attendance_data!$E$3:$BI$3, 0) + 4)),
    "P"
  )
  /
  (
    COUNTIFS(
      Attendance_data!$B$4:$B$1000,Q$4,
      INDIRECT("Attendance_data!" &amp; ADDRESS(4, MATCH($B41, Attendance_data!$E$3:$BI$3, 0) + 4) &amp; ":" &amp;
               ADDRESS(1000, MATCH($B41, Attendance_data!$E$3:$BI$3, 0) + 4)),
      "P"
    )
    +
    COUNTIFS(
      Attendance_data!$B$4:$B$1000,Q$4,
      INDIRECT("Attendance_data!" &amp; ADDRESS(4, MATCH($B41, Attendance_data!$E$3:$BI$3, 0) + 4) &amp; ":" &amp;
               ADDRESS(1000, MATCH($B41, Attendance_data!$E$3:$BI$3, 0) + 4)),
      "A"
    )
  ),"")</f>
        <v/>
      </c>
      <c r="R41" s="18" t="str">
        <f t="array" ref="R41">IFERROR(
  COUNTIFS(Attendance_data!$B$4:$B$1000,R$4,
    INDIRECT("Attendance_data!" &amp; ADDRESS(4, MATCH($B41, Attendance_data!$E$3:$BI$3, 0) + 4) &amp; ":" &amp;
             ADDRESS(1000, MATCH($B41, Attendance_data!$E$3:$BI$3, 0) + 4)),
    "P"
  )
  /
  (
    COUNTIFS(
      Attendance_data!$B$4:$B$1000,R$4,
      INDIRECT("Attendance_data!" &amp; ADDRESS(4, MATCH($B41, Attendance_data!$E$3:$BI$3, 0) + 4) &amp; ":" &amp;
               ADDRESS(1000, MATCH($B41, Attendance_data!$E$3:$BI$3, 0) + 4)),
      "P"
    )
    +
    COUNTIFS(
      Attendance_data!$B$4:$B$1000,R$4,
      INDIRECT("Attendance_data!" &amp; ADDRESS(4, MATCH($B41, Attendance_data!$E$3:$BI$3, 0) + 4) &amp; ":" &amp;
               ADDRESS(1000, MATCH($B41, Attendance_data!$E$3:$BI$3, 0) + 4)),
      "A"
    )
  ),"")</f>
        <v/>
      </c>
      <c r="S41" s="18" t="str">
        <f t="array" ref="S41">IFERROR(
  COUNTIFS(Attendance_data!$B$4:$B$1000,S$4,
    INDIRECT("Attendance_data!" &amp; ADDRESS(4, MATCH($B41, Attendance_data!$E$3:$BI$3, 0) + 4) &amp; ":" &amp;
             ADDRESS(1000, MATCH($B41, Attendance_data!$E$3:$BI$3, 0) + 4)),
    "P"
  )
  /
  (
    COUNTIFS(
      Attendance_data!$B$4:$B$1000,S$4,
      INDIRECT("Attendance_data!" &amp; ADDRESS(4, MATCH($B41, Attendance_data!$E$3:$BI$3, 0) + 4) &amp; ":" &amp;
               ADDRESS(1000, MATCH($B41, Attendance_data!$E$3:$BI$3, 0) + 4)),
      "P"
    )
    +
    COUNTIFS(
      Attendance_data!$B$4:$B$1000,S$4,
      INDIRECT("Attendance_data!" &amp; ADDRESS(4, MATCH($B41, Attendance_data!$E$3:$BI$3, 0) + 4) &amp; ":" &amp;
               ADDRESS(1000, MATCH($B41, Attendance_data!$E$3:$BI$3, 0) + 4)),
      "A"
    )
  ),"")</f>
        <v/>
      </c>
      <c r="T41" s="18" t="str">
        <f t="array" ref="T41">IFERROR(
  COUNTIFS(Attendance_data!$B$4:$B$1000,T$4,
    INDIRECT("Attendance_data!" &amp; ADDRESS(4, MATCH($B41, Attendance_data!$E$3:$BI$3, 0) + 4) &amp; ":" &amp;
             ADDRESS(1000, MATCH($B41, Attendance_data!$E$3:$BI$3, 0) + 4)),
    "P"
  )
  /
  (
    COUNTIFS(
      Attendance_data!$B$4:$B$1000,T$4,
      INDIRECT("Attendance_data!" &amp; ADDRESS(4, MATCH($B41, Attendance_data!$E$3:$BI$3, 0) + 4) &amp; ":" &amp;
               ADDRESS(1000, MATCH($B41, Attendance_data!$E$3:$BI$3, 0) + 4)),
      "P"
    )
    +
    COUNTIFS(
      Attendance_data!$B$4:$B$1000,T$4,
      INDIRECT("Attendance_data!" &amp; ADDRESS(4, MATCH($B41, Attendance_data!$E$3:$BI$3, 0) + 4) &amp; ":" &amp;
               ADDRESS(1000, MATCH($B41, Attendance_data!$E$3:$BI$3, 0) + 4)),
      "A"
    )
  ),"")</f>
        <v/>
      </c>
      <c r="U41" s="18" t="str">
        <f t="array" ref="U41">IFERROR(
  COUNTIFS(Attendance_data!$B$4:$B$1000,U$4,
    INDIRECT("Attendance_data!" &amp; ADDRESS(4, MATCH($B41, Attendance_data!$E$3:$BI$3, 0) + 4) &amp; ":" &amp;
             ADDRESS(1000, MATCH($B41, Attendance_data!$E$3:$BI$3, 0) + 4)),
    "P"
  )
  /
  (
    COUNTIFS(
      Attendance_data!$B$4:$B$1000,U$4,
      INDIRECT("Attendance_data!" &amp; ADDRESS(4, MATCH($B41, Attendance_data!$E$3:$BI$3, 0) + 4) &amp; ":" &amp;
               ADDRESS(1000, MATCH($B41, Attendance_data!$E$3:$BI$3, 0) + 4)),
      "P"
    )
    +
    COUNTIFS(
      Attendance_data!$B$4:$B$1000,U$4,
      INDIRECT("Attendance_data!" &amp; ADDRESS(4, MATCH($B41, Attendance_data!$E$3:$BI$3, 0) + 4) &amp; ":" &amp;
               ADDRESS(1000, MATCH($B41, Attendance_data!$E$3:$BI$3, 0) + 4)),
      "A"
    )
  ),"")</f>
        <v/>
      </c>
      <c r="V41" s="18" t="str">
        <f t="array" ref="V41">IFERROR(
  COUNTIFS(Attendance_data!$B$4:$B$1000,V$4,
    INDIRECT("Attendance_data!" &amp; ADDRESS(4, MATCH($B41, Attendance_data!$E$3:$BI$3, 0) + 4) &amp; ":" &amp;
             ADDRESS(1000, MATCH($B41, Attendance_data!$E$3:$BI$3, 0) + 4)),
    "P"
  )
  /
  (
    COUNTIFS(
      Attendance_data!$B$4:$B$1000,V$4,
      INDIRECT("Attendance_data!" &amp; ADDRESS(4, MATCH($B41, Attendance_data!$E$3:$BI$3, 0) + 4) &amp; ":" &amp;
               ADDRESS(1000, MATCH($B41, Attendance_data!$E$3:$BI$3, 0) + 4)),
      "P"
    )
    +
    COUNTIFS(
      Attendance_data!$B$4:$B$1000,V$4,
      INDIRECT("Attendance_data!" &amp; ADDRESS(4, MATCH($B41, Attendance_data!$E$3:$BI$3, 0) + 4) &amp; ":" &amp;
               ADDRESS(1000, MATCH($B41, Attendance_data!$E$3:$BI$3, 0) + 4)),
      "A"
    )
  ),"")</f>
        <v/>
      </c>
      <c r="W41" s="18" t="str">
        <f t="array" ref="W41">IFERROR(
  COUNTIFS(Attendance_data!$B$4:$B$1000,W$4,
    INDIRECT("Attendance_data!" &amp; ADDRESS(4, MATCH($B41, Attendance_data!$E$3:$BI$3, 0) + 4) &amp; ":" &amp;
             ADDRESS(1000, MATCH($B41, Attendance_data!$E$3:$BI$3, 0) + 4)),
    "P"
  )
  /
  (
    COUNTIFS(
      Attendance_data!$B$4:$B$1000,W$4,
      INDIRECT("Attendance_data!" &amp; ADDRESS(4, MATCH($B41, Attendance_data!$E$3:$BI$3, 0) + 4) &amp; ":" &amp;
               ADDRESS(1000, MATCH($B41, Attendance_data!$E$3:$BI$3, 0) + 4)),
      "P"
    )
    +
    COUNTIFS(
      Attendance_data!$B$4:$B$1000,W$4,
      INDIRECT("Attendance_data!" &amp; ADDRESS(4, MATCH($B41, Attendance_data!$E$3:$BI$3, 0) + 4) &amp; ":" &amp;
               ADDRESS(1000, MATCH($B41, Attendance_data!$E$3:$BI$3, 0) + 4)),
      "A"
    )
  ),"")</f>
        <v/>
      </c>
      <c r="X41" s="18" t="str">
        <f t="array" ref="X41">IFERROR(
  COUNTIFS(Attendance_data!$B$4:$B$1000,X$4,
    INDIRECT("Attendance_data!" &amp; ADDRESS(4, MATCH($B41, Attendance_data!$E$3:$BI$3, 0) + 4) &amp; ":" &amp;
             ADDRESS(1000, MATCH($B41, Attendance_data!$E$3:$BI$3, 0) + 4)),
    "P"
  )
  /
  (
    COUNTIFS(
      Attendance_data!$B$4:$B$1000,X$4,
      INDIRECT("Attendance_data!" &amp; ADDRESS(4, MATCH($B41, Attendance_data!$E$3:$BI$3, 0) + 4) &amp; ":" &amp;
               ADDRESS(1000, MATCH($B41, Attendance_data!$E$3:$BI$3, 0) + 4)),
      "P"
    )
    +
    COUNTIFS(
      Attendance_data!$B$4:$B$1000,X$4,
      INDIRECT("Attendance_data!" &amp; ADDRESS(4, MATCH($B41, Attendance_data!$E$3:$BI$3, 0) + 4) &amp; ":" &amp;
               ADDRESS(1000, MATCH($B41, Attendance_data!$E$3:$BI$3, 0) + 4)),
      "A"
    )
  ),"")</f>
        <v/>
      </c>
      <c r="Y41" s="18" t="str">
        <f t="array" ref="Y41">IFERROR(
  COUNTIFS(Attendance_data!$B$4:$B$1000,Y$4,
    INDIRECT("Attendance_data!" &amp; ADDRESS(4, MATCH($B41, Attendance_data!$E$3:$BI$3, 0) + 4) &amp; ":" &amp;
             ADDRESS(1000, MATCH($B41, Attendance_data!$E$3:$BI$3, 0) + 4)),
    "P"
  )
  /
  (
    COUNTIFS(
      Attendance_data!$B$4:$B$1000,Y$4,
      INDIRECT("Attendance_data!" &amp; ADDRESS(4, MATCH($B41, Attendance_data!$E$3:$BI$3, 0) + 4) &amp; ":" &amp;
               ADDRESS(1000, MATCH($B41, Attendance_data!$E$3:$BI$3, 0) + 4)),
      "P"
    )
    +
    COUNTIFS(
      Attendance_data!$B$4:$B$1000,Y$4,
      INDIRECT("Attendance_data!" &amp; ADDRESS(4, MATCH($B41, Attendance_data!$E$3:$BI$3, 0) + 4) &amp; ":" &amp;
               ADDRESS(1000, MATCH($B41, Attendance_data!$E$3:$BI$3, 0) + 4)),
      "A"
    )
  ),"")</f>
        <v/>
      </c>
      <c r="Z41" s="18" t="str">
        <f t="array" ref="Z41">IFERROR(
  COUNTIFS(Attendance_data!$B$4:$B$1000,Z$4,
    INDIRECT("Attendance_data!" &amp; ADDRESS(4, MATCH($B41, Attendance_data!$E$3:$BI$3, 0) + 4) &amp; ":" &amp;
             ADDRESS(1000, MATCH($B41, Attendance_data!$E$3:$BI$3, 0) + 4)),
    "P"
  )
  /
  (
    COUNTIFS(
      Attendance_data!$B$4:$B$1000,Z$4,
      INDIRECT("Attendance_data!" &amp; ADDRESS(4, MATCH($B41, Attendance_data!$E$3:$BI$3, 0) + 4) &amp; ":" &amp;
               ADDRESS(1000, MATCH($B41, Attendance_data!$E$3:$BI$3, 0) + 4)),
      "P"
    )
    +
    COUNTIFS(
      Attendance_data!$B$4:$B$1000,Z$4,
      INDIRECT("Attendance_data!" &amp; ADDRESS(4, MATCH($B41, Attendance_data!$E$3:$BI$3, 0) + 4) &amp; ":" &amp;
               ADDRESS(1000, MATCH($B41, Attendance_data!$E$3:$BI$3, 0) + 4)),
      "A"
    )
  ),"")</f>
        <v/>
      </c>
      <c r="AA41" s="18" t="str">
        <f t="array" ref="AA41">IFERROR(
  COUNTIFS(Attendance_data!$B$4:$B$1000,AA$4,
    INDIRECT("Attendance_data!" &amp; ADDRESS(4, MATCH($B41, Attendance_data!$E$3:$BI$3, 0) + 4) &amp; ":" &amp;
             ADDRESS(1000, MATCH($B41, Attendance_data!$E$3:$BI$3, 0) + 4)),
    "P"
  )
  /
  (
    COUNTIFS(
      Attendance_data!$B$4:$B$1000,AA$4,
      INDIRECT("Attendance_data!" &amp; ADDRESS(4, MATCH($B41, Attendance_data!$E$3:$BI$3, 0) + 4) &amp; ":" &amp;
               ADDRESS(1000, MATCH($B41, Attendance_data!$E$3:$BI$3, 0) + 4)),
      "P"
    )
    +
    COUNTIFS(
      Attendance_data!$B$4:$B$1000,AA$4,
      INDIRECT("Attendance_data!" &amp; ADDRESS(4, MATCH($B41, Attendance_data!$E$3:$BI$3, 0) + 4) &amp; ":" &amp;
               ADDRESS(1000, MATCH($B41, Attendance_data!$E$3:$BI$3, 0) + 4)),
      "A"
    )
  ),"")</f>
        <v/>
      </c>
      <c r="AB41" s="19" t="str">
        <f t="shared" si="3"/>
        <v>#DIV/0!</v>
      </c>
      <c r="AC41" s="1"/>
      <c r="AD41" s="1"/>
      <c r="AE41" s="1"/>
      <c r="AF41" s="1"/>
      <c r="AG41" s="1"/>
      <c r="AH41" s="1"/>
    </row>
    <row r="42">
      <c r="A42" s="14">
        <f t="shared" si="2"/>
        <v>38</v>
      </c>
      <c r="B42" s="23"/>
      <c r="C42" s="23"/>
      <c r="D42" s="23"/>
      <c r="E42" s="23"/>
      <c r="F42" s="23"/>
      <c r="G42" s="25"/>
      <c r="H42" s="23"/>
      <c r="I42" s="2"/>
      <c r="J42" s="1"/>
      <c r="K42" s="1"/>
      <c r="L42" s="1"/>
      <c r="M42" s="1"/>
      <c r="N42" s="1"/>
      <c r="O42" s="1"/>
      <c r="P42" s="18" t="str">
        <f t="array" ref="P42">IFERROR(
  COUNTIFS(Attendance_data!$B$4:$B$1000,P$4,
    INDIRECT("Attendance_data!" &amp; ADDRESS(4, MATCH($B42, Attendance_data!$E$3:$BI$3, 0) + 4) &amp; ":" &amp;
             ADDRESS(1000, MATCH($B42, Attendance_data!$E$3:$BI$3, 0) + 4)),
    "P"
  )
  /
  (
    COUNTIFS(
      Attendance_data!$B$4:$B$1000,P$4,
      INDIRECT("Attendance_data!" &amp; ADDRESS(4, MATCH($B42, Attendance_data!$E$3:$BI$3, 0) + 4) &amp; ":" &amp;
               ADDRESS(1000, MATCH($B42, Attendance_data!$E$3:$BI$3, 0) + 4)),
      "P"
    )
    +
    COUNTIFS(
      Attendance_data!$B$4:$B$1000,P$4,
      INDIRECT("Attendance_data!" &amp; ADDRESS(4, MATCH($B42, Attendance_data!$E$3:$BI$3, 0) + 4) &amp; ":" &amp;
               ADDRESS(1000, MATCH($B42, Attendance_data!$E$3:$BI$3, 0) + 4)),
      "A"
    )
  ),"")</f>
        <v/>
      </c>
      <c r="Q42" s="18" t="str">
        <f t="array" ref="Q42">IFERROR(
  COUNTIFS(Attendance_data!$B$4:$B$1000,Q$4,
    INDIRECT("Attendance_data!" &amp; ADDRESS(4, MATCH($B42, Attendance_data!$E$3:$BI$3, 0) + 4) &amp; ":" &amp;
             ADDRESS(1000, MATCH($B42, Attendance_data!$E$3:$BI$3, 0) + 4)),
    "P"
  )
  /
  (
    COUNTIFS(
      Attendance_data!$B$4:$B$1000,Q$4,
      INDIRECT("Attendance_data!" &amp; ADDRESS(4, MATCH($B42, Attendance_data!$E$3:$BI$3, 0) + 4) &amp; ":" &amp;
               ADDRESS(1000, MATCH($B42, Attendance_data!$E$3:$BI$3, 0) + 4)),
      "P"
    )
    +
    COUNTIFS(
      Attendance_data!$B$4:$B$1000,Q$4,
      INDIRECT("Attendance_data!" &amp; ADDRESS(4, MATCH($B42, Attendance_data!$E$3:$BI$3, 0) + 4) &amp; ":" &amp;
               ADDRESS(1000, MATCH($B42, Attendance_data!$E$3:$BI$3, 0) + 4)),
      "A"
    )
  ),"")</f>
        <v/>
      </c>
      <c r="R42" s="18" t="str">
        <f t="array" ref="R42">IFERROR(
  COUNTIFS(Attendance_data!$B$4:$B$1000,R$4,
    INDIRECT("Attendance_data!" &amp; ADDRESS(4, MATCH($B42, Attendance_data!$E$3:$BI$3, 0) + 4) &amp; ":" &amp;
             ADDRESS(1000, MATCH($B42, Attendance_data!$E$3:$BI$3, 0) + 4)),
    "P"
  )
  /
  (
    COUNTIFS(
      Attendance_data!$B$4:$B$1000,R$4,
      INDIRECT("Attendance_data!" &amp; ADDRESS(4, MATCH($B42, Attendance_data!$E$3:$BI$3, 0) + 4) &amp; ":" &amp;
               ADDRESS(1000, MATCH($B42, Attendance_data!$E$3:$BI$3, 0) + 4)),
      "P"
    )
    +
    COUNTIFS(
      Attendance_data!$B$4:$B$1000,R$4,
      INDIRECT("Attendance_data!" &amp; ADDRESS(4, MATCH($B42, Attendance_data!$E$3:$BI$3, 0) + 4) &amp; ":" &amp;
               ADDRESS(1000, MATCH($B42, Attendance_data!$E$3:$BI$3, 0) + 4)),
      "A"
    )
  ),"")</f>
        <v/>
      </c>
      <c r="S42" s="18" t="str">
        <f t="array" ref="S42">IFERROR(
  COUNTIFS(Attendance_data!$B$4:$B$1000,S$4,
    INDIRECT("Attendance_data!" &amp; ADDRESS(4, MATCH($B42, Attendance_data!$E$3:$BI$3, 0) + 4) &amp; ":" &amp;
             ADDRESS(1000, MATCH($B42, Attendance_data!$E$3:$BI$3, 0) + 4)),
    "P"
  )
  /
  (
    COUNTIFS(
      Attendance_data!$B$4:$B$1000,S$4,
      INDIRECT("Attendance_data!" &amp; ADDRESS(4, MATCH($B42, Attendance_data!$E$3:$BI$3, 0) + 4) &amp; ":" &amp;
               ADDRESS(1000, MATCH($B42, Attendance_data!$E$3:$BI$3, 0) + 4)),
      "P"
    )
    +
    COUNTIFS(
      Attendance_data!$B$4:$B$1000,S$4,
      INDIRECT("Attendance_data!" &amp; ADDRESS(4, MATCH($B42, Attendance_data!$E$3:$BI$3, 0) + 4) &amp; ":" &amp;
               ADDRESS(1000, MATCH($B42, Attendance_data!$E$3:$BI$3, 0) + 4)),
      "A"
    )
  ),"")</f>
        <v/>
      </c>
      <c r="T42" s="18" t="str">
        <f t="array" ref="T42">IFERROR(
  COUNTIFS(Attendance_data!$B$4:$B$1000,T$4,
    INDIRECT("Attendance_data!" &amp; ADDRESS(4, MATCH($B42, Attendance_data!$E$3:$BI$3, 0) + 4) &amp; ":" &amp;
             ADDRESS(1000, MATCH($B42, Attendance_data!$E$3:$BI$3, 0) + 4)),
    "P"
  )
  /
  (
    COUNTIFS(
      Attendance_data!$B$4:$B$1000,T$4,
      INDIRECT("Attendance_data!" &amp; ADDRESS(4, MATCH($B42, Attendance_data!$E$3:$BI$3, 0) + 4) &amp; ":" &amp;
               ADDRESS(1000, MATCH($B42, Attendance_data!$E$3:$BI$3, 0) + 4)),
      "P"
    )
    +
    COUNTIFS(
      Attendance_data!$B$4:$B$1000,T$4,
      INDIRECT("Attendance_data!" &amp; ADDRESS(4, MATCH($B42, Attendance_data!$E$3:$BI$3, 0) + 4) &amp; ":" &amp;
               ADDRESS(1000, MATCH($B42, Attendance_data!$E$3:$BI$3, 0) + 4)),
      "A"
    )
  ),"")</f>
        <v/>
      </c>
      <c r="U42" s="18" t="str">
        <f t="array" ref="U42">IFERROR(
  COUNTIFS(Attendance_data!$B$4:$B$1000,U$4,
    INDIRECT("Attendance_data!" &amp; ADDRESS(4, MATCH($B42, Attendance_data!$E$3:$BI$3, 0) + 4) &amp; ":" &amp;
             ADDRESS(1000, MATCH($B42, Attendance_data!$E$3:$BI$3, 0) + 4)),
    "P"
  )
  /
  (
    COUNTIFS(
      Attendance_data!$B$4:$B$1000,U$4,
      INDIRECT("Attendance_data!" &amp; ADDRESS(4, MATCH($B42, Attendance_data!$E$3:$BI$3, 0) + 4) &amp; ":" &amp;
               ADDRESS(1000, MATCH($B42, Attendance_data!$E$3:$BI$3, 0) + 4)),
      "P"
    )
    +
    COUNTIFS(
      Attendance_data!$B$4:$B$1000,U$4,
      INDIRECT("Attendance_data!" &amp; ADDRESS(4, MATCH($B42, Attendance_data!$E$3:$BI$3, 0) + 4) &amp; ":" &amp;
               ADDRESS(1000, MATCH($B42, Attendance_data!$E$3:$BI$3, 0) + 4)),
      "A"
    )
  ),"")</f>
        <v/>
      </c>
      <c r="V42" s="18" t="str">
        <f t="array" ref="V42">IFERROR(
  COUNTIFS(Attendance_data!$B$4:$B$1000,V$4,
    INDIRECT("Attendance_data!" &amp; ADDRESS(4, MATCH($B42, Attendance_data!$E$3:$BI$3, 0) + 4) &amp; ":" &amp;
             ADDRESS(1000, MATCH($B42, Attendance_data!$E$3:$BI$3, 0) + 4)),
    "P"
  )
  /
  (
    COUNTIFS(
      Attendance_data!$B$4:$B$1000,V$4,
      INDIRECT("Attendance_data!" &amp; ADDRESS(4, MATCH($B42, Attendance_data!$E$3:$BI$3, 0) + 4) &amp; ":" &amp;
               ADDRESS(1000, MATCH($B42, Attendance_data!$E$3:$BI$3, 0) + 4)),
      "P"
    )
    +
    COUNTIFS(
      Attendance_data!$B$4:$B$1000,V$4,
      INDIRECT("Attendance_data!" &amp; ADDRESS(4, MATCH($B42, Attendance_data!$E$3:$BI$3, 0) + 4) &amp; ":" &amp;
               ADDRESS(1000, MATCH($B42, Attendance_data!$E$3:$BI$3, 0) + 4)),
      "A"
    )
  ),"")</f>
        <v/>
      </c>
      <c r="W42" s="18" t="str">
        <f t="array" ref="W42">IFERROR(
  COUNTIFS(Attendance_data!$B$4:$B$1000,W$4,
    INDIRECT("Attendance_data!" &amp; ADDRESS(4, MATCH($B42, Attendance_data!$E$3:$BI$3, 0) + 4) &amp; ":" &amp;
             ADDRESS(1000, MATCH($B42, Attendance_data!$E$3:$BI$3, 0) + 4)),
    "P"
  )
  /
  (
    COUNTIFS(
      Attendance_data!$B$4:$B$1000,W$4,
      INDIRECT("Attendance_data!" &amp; ADDRESS(4, MATCH($B42, Attendance_data!$E$3:$BI$3, 0) + 4) &amp; ":" &amp;
               ADDRESS(1000, MATCH($B42, Attendance_data!$E$3:$BI$3, 0) + 4)),
      "P"
    )
    +
    COUNTIFS(
      Attendance_data!$B$4:$B$1000,W$4,
      INDIRECT("Attendance_data!" &amp; ADDRESS(4, MATCH($B42, Attendance_data!$E$3:$BI$3, 0) + 4) &amp; ":" &amp;
               ADDRESS(1000, MATCH($B42, Attendance_data!$E$3:$BI$3, 0) + 4)),
      "A"
    )
  ),"")</f>
        <v/>
      </c>
      <c r="X42" s="18" t="str">
        <f t="array" ref="X42">IFERROR(
  COUNTIFS(Attendance_data!$B$4:$B$1000,X$4,
    INDIRECT("Attendance_data!" &amp; ADDRESS(4, MATCH($B42, Attendance_data!$E$3:$BI$3, 0) + 4) &amp; ":" &amp;
             ADDRESS(1000, MATCH($B42, Attendance_data!$E$3:$BI$3, 0) + 4)),
    "P"
  )
  /
  (
    COUNTIFS(
      Attendance_data!$B$4:$B$1000,X$4,
      INDIRECT("Attendance_data!" &amp; ADDRESS(4, MATCH($B42, Attendance_data!$E$3:$BI$3, 0) + 4) &amp; ":" &amp;
               ADDRESS(1000, MATCH($B42, Attendance_data!$E$3:$BI$3, 0) + 4)),
      "P"
    )
    +
    COUNTIFS(
      Attendance_data!$B$4:$B$1000,X$4,
      INDIRECT("Attendance_data!" &amp; ADDRESS(4, MATCH($B42, Attendance_data!$E$3:$BI$3, 0) + 4) &amp; ":" &amp;
               ADDRESS(1000, MATCH($B42, Attendance_data!$E$3:$BI$3, 0) + 4)),
      "A"
    )
  ),"")</f>
        <v/>
      </c>
      <c r="Y42" s="18" t="str">
        <f t="array" ref="Y42">IFERROR(
  COUNTIFS(Attendance_data!$B$4:$B$1000,Y$4,
    INDIRECT("Attendance_data!" &amp; ADDRESS(4, MATCH($B42, Attendance_data!$E$3:$BI$3, 0) + 4) &amp; ":" &amp;
             ADDRESS(1000, MATCH($B42, Attendance_data!$E$3:$BI$3, 0) + 4)),
    "P"
  )
  /
  (
    COUNTIFS(
      Attendance_data!$B$4:$B$1000,Y$4,
      INDIRECT("Attendance_data!" &amp; ADDRESS(4, MATCH($B42, Attendance_data!$E$3:$BI$3, 0) + 4) &amp; ":" &amp;
               ADDRESS(1000, MATCH($B42, Attendance_data!$E$3:$BI$3, 0) + 4)),
      "P"
    )
    +
    COUNTIFS(
      Attendance_data!$B$4:$B$1000,Y$4,
      INDIRECT("Attendance_data!" &amp; ADDRESS(4, MATCH($B42, Attendance_data!$E$3:$BI$3, 0) + 4) &amp; ":" &amp;
               ADDRESS(1000, MATCH($B42, Attendance_data!$E$3:$BI$3, 0) + 4)),
      "A"
    )
  ),"")</f>
        <v/>
      </c>
      <c r="Z42" s="18" t="str">
        <f t="array" ref="Z42">IFERROR(
  COUNTIFS(Attendance_data!$B$4:$B$1000,Z$4,
    INDIRECT("Attendance_data!" &amp; ADDRESS(4, MATCH($B42, Attendance_data!$E$3:$BI$3, 0) + 4) &amp; ":" &amp;
             ADDRESS(1000, MATCH($B42, Attendance_data!$E$3:$BI$3, 0) + 4)),
    "P"
  )
  /
  (
    COUNTIFS(
      Attendance_data!$B$4:$B$1000,Z$4,
      INDIRECT("Attendance_data!" &amp; ADDRESS(4, MATCH($B42, Attendance_data!$E$3:$BI$3, 0) + 4) &amp; ":" &amp;
               ADDRESS(1000, MATCH($B42, Attendance_data!$E$3:$BI$3, 0) + 4)),
      "P"
    )
    +
    COUNTIFS(
      Attendance_data!$B$4:$B$1000,Z$4,
      INDIRECT("Attendance_data!" &amp; ADDRESS(4, MATCH($B42, Attendance_data!$E$3:$BI$3, 0) + 4) &amp; ":" &amp;
               ADDRESS(1000, MATCH($B42, Attendance_data!$E$3:$BI$3, 0) + 4)),
      "A"
    )
  ),"")</f>
        <v/>
      </c>
      <c r="AA42" s="18" t="str">
        <f t="array" ref="AA42">IFERROR(
  COUNTIFS(Attendance_data!$B$4:$B$1000,AA$4,
    INDIRECT("Attendance_data!" &amp; ADDRESS(4, MATCH($B42, Attendance_data!$E$3:$BI$3, 0) + 4) &amp; ":" &amp;
             ADDRESS(1000, MATCH($B42, Attendance_data!$E$3:$BI$3, 0) + 4)),
    "P"
  )
  /
  (
    COUNTIFS(
      Attendance_data!$B$4:$B$1000,AA$4,
      INDIRECT("Attendance_data!" &amp; ADDRESS(4, MATCH($B42, Attendance_data!$E$3:$BI$3, 0) + 4) &amp; ":" &amp;
               ADDRESS(1000, MATCH($B42, Attendance_data!$E$3:$BI$3, 0) + 4)),
      "P"
    )
    +
    COUNTIFS(
      Attendance_data!$B$4:$B$1000,AA$4,
      INDIRECT("Attendance_data!" &amp; ADDRESS(4, MATCH($B42, Attendance_data!$E$3:$BI$3, 0) + 4) &amp; ":" &amp;
               ADDRESS(1000, MATCH($B42, Attendance_data!$E$3:$BI$3, 0) + 4)),
      "A"
    )
  ),"")</f>
        <v/>
      </c>
      <c r="AB42" s="19" t="str">
        <f t="shared" si="3"/>
        <v>#DIV/0!</v>
      </c>
      <c r="AC42" s="1"/>
      <c r="AD42" s="1"/>
      <c r="AE42" s="1"/>
      <c r="AF42" s="1"/>
      <c r="AG42" s="1"/>
      <c r="AH42" s="1"/>
    </row>
    <row r="43">
      <c r="A43" s="14">
        <f t="shared" si="2"/>
        <v>39</v>
      </c>
      <c r="B43" s="23"/>
      <c r="C43" s="23"/>
      <c r="D43" s="23"/>
      <c r="E43" s="23"/>
      <c r="F43" s="23"/>
      <c r="G43" s="25"/>
      <c r="H43" s="23"/>
      <c r="I43" s="2"/>
      <c r="J43" s="1"/>
      <c r="K43" s="1"/>
      <c r="L43" s="1"/>
      <c r="M43" s="1"/>
      <c r="N43" s="1"/>
      <c r="O43" s="1"/>
      <c r="P43" s="18" t="str">
        <f t="array" ref="P43">IFERROR(
  COUNTIFS(Attendance_data!$B$4:$B$1000,P$4,
    INDIRECT("Attendance_data!" &amp; ADDRESS(4, MATCH($B43, Attendance_data!$E$3:$BI$3, 0) + 4) &amp; ":" &amp;
             ADDRESS(1000, MATCH($B43, Attendance_data!$E$3:$BI$3, 0) + 4)),
    "P"
  )
  /
  (
    COUNTIFS(
      Attendance_data!$B$4:$B$1000,P$4,
      INDIRECT("Attendance_data!" &amp; ADDRESS(4, MATCH($B43, Attendance_data!$E$3:$BI$3, 0) + 4) &amp; ":" &amp;
               ADDRESS(1000, MATCH($B43, Attendance_data!$E$3:$BI$3, 0) + 4)),
      "P"
    )
    +
    COUNTIFS(
      Attendance_data!$B$4:$B$1000,P$4,
      INDIRECT("Attendance_data!" &amp; ADDRESS(4, MATCH($B43, Attendance_data!$E$3:$BI$3, 0) + 4) &amp; ":" &amp;
               ADDRESS(1000, MATCH($B43, Attendance_data!$E$3:$BI$3, 0) + 4)),
      "A"
    )
  ),"")</f>
        <v/>
      </c>
      <c r="Q43" s="18" t="str">
        <f t="array" ref="Q43">IFERROR(
  COUNTIFS(Attendance_data!$B$4:$B$1000,Q$4,
    INDIRECT("Attendance_data!" &amp; ADDRESS(4, MATCH($B43, Attendance_data!$E$3:$BI$3, 0) + 4) &amp; ":" &amp;
             ADDRESS(1000, MATCH($B43, Attendance_data!$E$3:$BI$3, 0) + 4)),
    "P"
  )
  /
  (
    COUNTIFS(
      Attendance_data!$B$4:$B$1000,Q$4,
      INDIRECT("Attendance_data!" &amp; ADDRESS(4, MATCH($B43, Attendance_data!$E$3:$BI$3, 0) + 4) &amp; ":" &amp;
               ADDRESS(1000, MATCH($B43, Attendance_data!$E$3:$BI$3, 0) + 4)),
      "P"
    )
    +
    COUNTIFS(
      Attendance_data!$B$4:$B$1000,Q$4,
      INDIRECT("Attendance_data!" &amp; ADDRESS(4, MATCH($B43, Attendance_data!$E$3:$BI$3, 0) + 4) &amp; ":" &amp;
               ADDRESS(1000, MATCH($B43, Attendance_data!$E$3:$BI$3, 0) + 4)),
      "A"
    )
  ),"")</f>
        <v/>
      </c>
      <c r="R43" s="18" t="str">
        <f t="array" ref="R43">IFERROR(
  COUNTIFS(Attendance_data!$B$4:$B$1000,R$4,
    INDIRECT("Attendance_data!" &amp; ADDRESS(4, MATCH($B43, Attendance_data!$E$3:$BI$3, 0) + 4) &amp; ":" &amp;
             ADDRESS(1000, MATCH($B43, Attendance_data!$E$3:$BI$3, 0) + 4)),
    "P"
  )
  /
  (
    COUNTIFS(
      Attendance_data!$B$4:$B$1000,R$4,
      INDIRECT("Attendance_data!" &amp; ADDRESS(4, MATCH($B43, Attendance_data!$E$3:$BI$3, 0) + 4) &amp; ":" &amp;
               ADDRESS(1000, MATCH($B43, Attendance_data!$E$3:$BI$3, 0) + 4)),
      "P"
    )
    +
    COUNTIFS(
      Attendance_data!$B$4:$B$1000,R$4,
      INDIRECT("Attendance_data!" &amp; ADDRESS(4, MATCH($B43, Attendance_data!$E$3:$BI$3, 0) + 4) &amp; ":" &amp;
               ADDRESS(1000, MATCH($B43, Attendance_data!$E$3:$BI$3, 0) + 4)),
      "A"
    )
  ),"")</f>
        <v/>
      </c>
      <c r="S43" s="18" t="str">
        <f t="array" ref="S43">IFERROR(
  COUNTIFS(Attendance_data!$B$4:$B$1000,S$4,
    INDIRECT("Attendance_data!" &amp; ADDRESS(4, MATCH($B43, Attendance_data!$E$3:$BI$3, 0) + 4) &amp; ":" &amp;
             ADDRESS(1000, MATCH($B43, Attendance_data!$E$3:$BI$3, 0) + 4)),
    "P"
  )
  /
  (
    COUNTIFS(
      Attendance_data!$B$4:$B$1000,S$4,
      INDIRECT("Attendance_data!" &amp; ADDRESS(4, MATCH($B43, Attendance_data!$E$3:$BI$3, 0) + 4) &amp; ":" &amp;
               ADDRESS(1000, MATCH($B43, Attendance_data!$E$3:$BI$3, 0) + 4)),
      "P"
    )
    +
    COUNTIFS(
      Attendance_data!$B$4:$B$1000,S$4,
      INDIRECT("Attendance_data!" &amp; ADDRESS(4, MATCH($B43, Attendance_data!$E$3:$BI$3, 0) + 4) &amp; ":" &amp;
               ADDRESS(1000, MATCH($B43, Attendance_data!$E$3:$BI$3, 0) + 4)),
      "A"
    )
  ),"")</f>
        <v/>
      </c>
      <c r="T43" s="18" t="str">
        <f t="array" ref="T43">IFERROR(
  COUNTIFS(Attendance_data!$B$4:$B$1000,T$4,
    INDIRECT("Attendance_data!" &amp; ADDRESS(4, MATCH($B43, Attendance_data!$E$3:$BI$3, 0) + 4) &amp; ":" &amp;
             ADDRESS(1000, MATCH($B43, Attendance_data!$E$3:$BI$3, 0) + 4)),
    "P"
  )
  /
  (
    COUNTIFS(
      Attendance_data!$B$4:$B$1000,T$4,
      INDIRECT("Attendance_data!" &amp; ADDRESS(4, MATCH($B43, Attendance_data!$E$3:$BI$3, 0) + 4) &amp; ":" &amp;
               ADDRESS(1000, MATCH($B43, Attendance_data!$E$3:$BI$3, 0) + 4)),
      "P"
    )
    +
    COUNTIFS(
      Attendance_data!$B$4:$B$1000,T$4,
      INDIRECT("Attendance_data!" &amp; ADDRESS(4, MATCH($B43, Attendance_data!$E$3:$BI$3, 0) + 4) &amp; ":" &amp;
               ADDRESS(1000, MATCH($B43, Attendance_data!$E$3:$BI$3, 0) + 4)),
      "A"
    )
  ),"")</f>
        <v/>
      </c>
      <c r="U43" s="18" t="str">
        <f t="array" ref="U43">IFERROR(
  COUNTIFS(Attendance_data!$B$4:$B$1000,U$4,
    INDIRECT("Attendance_data!" &amp; ADDRESS(4, MATCH($B43, Attendance_data!$E$3:$BI$3, 0) + 4) &amp; ":" &amp;
             ADDRESS(1000, MATCH($B43, Attendance_data!$E$3:$BI$3, 0) + 4)),
    "P"
  )
  /
  (
    COUNTIFS(
      Attendance_data!$B$4:$B$1000,U$4,
      INDIRECT("Attendance_data!" &amp; ADDRESS(4, MATCH($B43, Attendance_data!$E$3:$BI$3, 0) + 4) &amp; ":" &amp;
               ADDRESS(1000, MATCH($B43, Attendance_data!$E$3:$BI$3, 0) + 4)),
      "P"
    )
    +
    COUNTIFS(
      Attendance_data!$B$4:$B$1000,U$4,
      INDIRECT("Attendance_data!" &amp; ADDRESS(4, MATCH($B43, Attendance_data!$E$3:$BI$3, 0) + 4) &amp; ":" &amp;
               ADDRESS(1000, MATCH($B43, Attendance_data!$E$3:$BI$3, 0) + 4)),
      "A"
    )
  ),"")</f>
        <v/>
      </c>
      <c r="V43" s="18" t="str">
        <f t="array" ref="V43">IFERROR(
  COUNTIFS(Attendance_data!$B$4:$B$1000,V$4,
    INDIRECT("Attendance_data!" &amp; ADDRESS(4, MATCH($B43, Attendance_data!$E$3:$BI$3, 0) + 4) &amp; ":" &amp;
             ADDRESS(1000, MATCH($B43, Attendance_data!$E$3:$BI$3, 0) + 4)),
    "P"
  )
  /
  (
    COUNTIFS(
      Attendance_data!$B$4:$B$1000,V$4,
      INDIRECT("Attendance_data!" &amp; ADDRESS(4, MATCH($B43, Attendance_data!$E$3:$BI$3, 0) + 4) &amp; ":" &amp;
               ADDRESS(1000, MATCH($B43, Attendance_data!$E$3:$BI$3, 0) + 4)),
      "P"
    )
    +
    COUNTIFS(
      Attendance_data!$B$4:$B$1000,V$4,
      INDIRECT("Attendance_data!" &amp; ADDRESS(4, MATCH($B43, Attendance_data!$E$3:$BI$3, 0) + 4) &amp; ":" &amp;
               ADDRESS(1000, MATCH($B43, Attendance_data!$E$3:$BI$3, 0) + 4)),
      "A"
    )
  ),"")</f>
        <v/>
      </c>
      <c r="W43" s="18" t="str">
        <f t="array" ref="W43">IFERROR(
  COUNTIFS(Attendance_data!$B$4:$B$1000,W$4,
    INDIRECT("Attendance_data!" &amp; ADDRESS(4, MATCH($B43, Attendance_data!$E$3:$BI$3, 0) + 4) &amp; ":" &amp;
             ADDRESS(1000, MATCH($B43, Attendance_data!$E$3:$BI$3, 0) + 4)),
    "P"
  )
  /
  (
    COUNTIFS(
      Attendance_data!$B$4:$B$1000,W$4,
      INDIRECT("Attendance_data!" &amp; ADDRESS(4, MATCH($B43, Attendance_data!$E$3:$BI$3, 0) + 4) &amp; ":" &amp;
               ADDRESS(1000, MATCH($B43, Attendance_data!$E$3:$BI$3, 0) + 4)),
      "P"
    )
    +
    COUNTIFS(
      Attendance_data!$B$4:$B$1000,W$4,
      INDIRECT("Attendance_data!" &amp; ADDRESS(4, MATCH($B43, Attendance_data!$E$3:$BI$3, 0) + 4) &amp; ":" &amp;
               ADDRESS(1000, MATCH($B43, Attendance_data!$E$3:$BI$3, 0) + 4)),
      "A"
    )
  ),"")</f>
        <v/>
      </c>
      <c r="X43" s="18" t="str">
        <f t="array" ref="X43">IFERROR(
  COUNTIFS(Attendance_data!$B$4:$B$1000,X$4,
    INDIRECT("Attendance_data!" &amp; ADDRESS(4, MATCH($B43, Attendance_data!$E$3:$BI$3, 0) + 4) &amp; ":" &amp;
             ADDRESS(1000, MATCH($B43, Attendance_data!$E$3:$BI$3, 0) + 4)),
    "P"
  )
  /
  (
    COUNTIFS(
      Attendance_data!$B$4:$B$1000,X$4,
      INDIRECT("Attendance_data!" &amp; ADDRESS(4, MATCH($B43, Attendance_data!$E$3:$BI$3, 0) + 4) &amp; ":" &amp;
               ADDRESS(1000, MATCH($B43, Attendance_data!$E$3:$BI$3, 0) + 4)),
      "P"
    )
    +
    COUNTIFS(
      Attendance_data!$B$4:$B$1000,X$4,
      INDIRECT("Attendance_data!" &amp; ADDRESS(4, MATCH($B43, Attendance_data!$E$3:$BI$3, 0) + 4) &amp; ":" &amp;
               ADDRESS(1000, MATCH($B43, Attendance_data!$E$3:$BI$3, 0) + 4)),
      "A"
    )
  ),"")</f>
        <v/>
      </c>
      <c r="Y43" s="18" t="str">
        <f t="array" ref="Y43">IFERROR(
  COUNTIFS(Attendance_data!$B$4:$B$1000,Y$4,
    INDIRECT("Attendance_data!" &amp; ADDRESS(4, MATCH($B43, Attendance_data!$E$3:$BI$3, 0) + 4) &amp; ":" &amp;
             ADDRESS(1000, MATCH($B43, Attendance_data!$E$3:$BI$3, 0) + 4)),
    "P"
  )
  /
  (
    COUNTIFS(
      Attendance_data!$B$4:$B$1000,Y$4,
      INDIRECT("Attendance_data!" &amp; ADDRESS(4, MATCH($B43, Attendance_data!$E$3:$BI$3, 0) + 4) &amp; ":" &amp;
               ADDRESS(1000, MATCH($B43, Attendance_data!$E$3:$BI$3, 0) + 4)),
      "P"
    )
    +
    COUNTIFS(
      Attendance_data!$B$4:$B$1000,Y$4,
      INDIRECT("Attendance_data!" &amp; ADDRESS(4, MATCH($B43, Attendance_data!$E$3:$BI$3, 0) + 4) &amp; ":" &amp;
               ADDRESS(1000, MATCH($B43, Attendance_data!$E$3:$BI$3, 0) + 4)),
      "A"
    )
  ),"")</f>
        <v/>
      </c>
      <c r="Z43" s="18" t="str">
        <f t="array" ref="Z43">IFERROR(
  COUNTIFS(Attendance_data!$B$4:$B$1000,Z$4,
    INDIRECT("Attendance_data!" &amp; ADDRESS(4, MATCH($B43, Attendance_data!$E$3:$BI$3, 0) + 4) &amp; ":" &amp;
             ADDRESS(1000, MATCH($B43, Attendance_data!$E$3:$BI$3, 0) + 4)),
    "P"
  )
  /
  (
    COUNTIFS(
      Attendance_data!$B$4:$B$1000,Z$4,
      INDIRECT("Attendance_data!" &amp; ADDRESS(4, MATCH($B43, Attendance_data!$E$3:$BI$3, 0) + 4) &amp; ":" &amp;
               ADDRESS(1000, MATCH($B43, Attendance_data!$E$3:$BI$3, 0) + 4)),
      "P"
    )
    +
    COUNTIFS(
      Attendance_data!$B$4:$B$1000,Z$4,
      INDIRECT("Attendance_data!" &amp; ADDRESS(4, MATCH($B43, Attendance_data!$E$3:$BI$3, 0) + 4) &amp; ":" &amp;
               ADDRESS(1000, MATCH($B43, Attendance_data!$E$3:$BI$3, 0) + 4)),
      "A"
    )
  ),"")</f>
        <v/>
      </c>
      <c r="AA43" s="18" t="str">
        <f t="array" ref="AA43">IFERROR(
  COUNTIFS(Attendance_data!$B$4:$B$1000,AA$4,
    INDIRECT("Attendance_data!" &amp; ADDRESS(4, MATCH($B43, Attendance_data!$E$3:$BI$3, 0) + 4) &amp; ":" &amp;
             ADDRESS(1000, MATCH($B43, Attendance_data!$E$3:$BI$3, 0) + 4)),
    "P"
  )
  /
  (
    COUNTIFS(
      Attendance_data!$B$4:$B$1000,AA$4,
      INDIRECT("Attendance_data!" &amp; ADDRESS(4, MATCH($B43, Attendance_data!$E$3:$BI$3, 0) + 4) &amp; ":" &amp;
               ADDRESS(1000, MATCH($B43, Attendance_data!$E$3:$BI$3, 0) + 4)),
      "P"
    )
    +
    COUNTIFS(
      Attendance_data!$B$4:$B$1000,AA$4,
      INDIRECT("Attendance_data!" &amp; ADDRESS(4, MATCH($B43, Attendance_data!$E$3:$BI$3, 0) + 4) &amp; ":" &amp;
               ADDRESS(1000, MATCH($B43, Attendance_data!$E$3:$BI$3, 0) + 4)),
      "A"
    )
  ),"")</f>
        <v/>
      </c>
      <c r="AB43" s="19" t="str">
        <f t="shared" si="3"/>
        <v>#DIV/0!</v>
      </c>
      <c r="AC43" s="1"/>
      <c r="AD43" s="1"/>
      <c r="AE43" s="1"/>
      <c r="AF43" s="1"/>
      <c r="AG43" s="1"/>
      <c r="AH43" s="1"/>
    </row>
    <row r="44">
      <c r="A44" s="14">
        <f t="shared" si="2"/>
        <v>40</v>
      </c>
      <c r="B44" s="23"/>
      <c r="C44" s="23"/>
      <c r="D44" s="23"/>
      <c r="E44" s="23"/>
      <c r="F44" s="23"/>
      <c r="G44" s="25"/>
      <c r="H44" s="23"/>
      <c r="I44" s="2"/>
      <c r="J44" s="1"/>
      <c r="K44" s="1"/>
      <c r="L44" s="1"/>
      <c r="M44" s="1"/>
      <c r="N44" s="1"/>
      <c r="O44" s="1"/>
      <c r="P44" s="18" t="str">
        <f t="array" ref="P44">IFERROR(
  COUNTIFS(Attendance_data!$B$4:$B$1000,P$4,
    INDIRECT("Attendance_data!" &amp; ADDRESS(4, MATCH($B44, Attendance_data!$E$3:$BI$3, 0) + 4) &amp; ":" &amp;
             ADDRESS(1000, MATCH($B44, Attendance_data!$E$3:$BI$3, 0) + 4)),
    "P"
  )
  /
  (
    COUNTIFS(
      Attendance_data!$B$4:$B$1000,P$4,
      INDIRECT("Attendance_data!" &amp; ADDRESS(4, MATCH($B44, Attendance_data!$E$3:$BI$3, 0) + 4) &amp; ":" &amp;
               ADDRESS(1000, MATCH($B44, Attendance_data!$E$3:$BI$3, 0) + 4)),
      "P"
    )
    +
    COUNTIFS(
      Attendance_data!$B$4:$B$1000,P$4,
      INDIRECT("Attendance_data!" &amp; ADDRESS(4, MATCH($B44, Attendance_data!$E$3:$BI$3, 0) + 4) &amp; ":" &amp;
               ADDRESS(1000, MATCH($B44, Attendance_data!$E$3:$BI$3, 0) + 4)),
      "A"
    )
  ),"")</f>
        <v/>
      </c>
      <c r="Q44" s="18" t="str">
        <f t="array" ref="Q44">IFERROR(
  COUNTIFS(Attendance_data!$B$4:$B$1000,Q$4,
    INDIRECT("Attendance_data!" &amp; ADDRESS(4, MATCH($B44, Attendance_data!$E$3:$BI$3, 0) + 4) &amp; ":" &amp;
             ADDRESS(1000, MATCH($B44, Attendance_data!$E$3:$BI$3, 0) + 4)),
    "P"
  )
  /
  (
    COUNTIFS(
      Attendance_data!$B$4:$B$1000,Q$4,
      INDIRECT("Attendance_data!" &amp; ADDRESS(4, MATCH($B44, Attendance_data!$E$3:$BI$3, 0) + 4) &amp; ":" &amp;
               ADDRESS(1000, MATCH($B44, Attendance_data!$E$3:$BI$3, 0) + 4)),
      "P"
    )
    +
    COUNTIFS(
      Attendance_data!$B$4:$B$1000,Q$4,
      INDIRECT("Attendance_data!" &amp; ADDRESS(4, MATCH($B44, Attendance_data!$E$3:$BI$3, 0) + 4) &amp; ":" &amp;
               ADDRESS(1000, MATCH($B44, Attendance_data!$E$3:$BI$3, 0) + 4)),
      "A"
    )
  ),"")</f>
        <v/>
      </c>
      <c r="R44" s="18" t="str">
        <f t="array" ref="R44">IFERROR(
  COUNTIFS(Attendance_data!$B$4:$B$1000,R$4,
    INDIRECT("Attendance_data!" &amp; ADDRESS(4, MATCH($B44, Attendance_data!$E$3:$BI$3, 0) + 4) &amp; ":" &amp;
             ADDRESS(1000, MATCH($B44, Attendance_data!$E$3:$BI$3, 0) + 4)),
    "P"
  )
  /
  (
    COUNTIFS(
      Attendance_data!$B$4:$B$1000,R$4,
      INDIRECT("Attendance_data!" &amp; ADDRESS(4, MATCH($B44, Attendance_data!$E$3:$BI$3, 0) + 4) &amp; ":" &amp;
               ADDRESS(1000, MATCH($B44, Attendance_data!$E$3:$BI$3, 0) + 4)),
      "P"
    )
    +
    COUNTIFS(
      Attendance_data!$B$4:$B$1000,R$4,
      INDIRECT("Attendance_data!" &amp; ADDRESS(4, MATCH($B44, Attendance_data!$E$3:$BI$3, 0) + 4) &amp; ":" &amp;
               ADDRESS(1000, MATCH($B44, Attendance_data!$E$3:$BI$3, 0) + 4)),
      "A"
    )
  ),"")</f>
        <v/>
      </c>
      <c r="S44" s="18" t="str">
        <f t="array" ref="S44">IFERROR(
  COUNTIFS(Attendance_data!$B$4:$B$1000,S$4,
    INDIRECT("Attendance_data!" &amp; ADDRESS(4, MATCH($B44, Attendance_data!$E$3:$BI$3, 0) + 4) &amp; ":" &amp;
             ADDRESS(1000, MATCH($B44, Attendance_data!$E$3:$BI$3, 0) + 4)),
    "P"
  )
  /
  (
    COUNTIFS(
      Attendance_data!$B$4:$B$1000,S$4,
      INDIRECT("Attendance_data!" &amp; ADDRESS(4, MATCH($B44, Attendance_data!$E$3:$BI$3, 0) + 4) &amp; ":" &amp;
               ADDRESS(1000, MATCH($B44, Attendance_data!$E$3:$BI$3, 0) + 4)),
      "P"
    )
    +
    COUNTIFS(
      Attendance_data!$B$4:$B$1000,S$4,
      INDIRECT("Attendance_data!" &amp; ADDRESS(4, MATCH($B44, Attendance_data!$E$3:$BI$3, 0) + 4) &amp; ":" &amp;
               ADDRESS(1000, MATCH($B44, Attendance_data!$E$3:$BI$3, 0) + 4)),
      "A"
    )
  ),"")</f>
        <v/>
      </c>
      <c r="T44" s="18" t="str">
        <f t="array" ref="T44">IFERROR(
  COUNTIFS(Attendance_data!$B$4:$B$1000,T$4,
    INDIRECT("Attendance_data!" &amp; ADDRESS(4, MATCH($B44, Attendance_data!$E$3:$BI$3, 0) + 4) &amp; ":" &amp;
             ADDRESS(1000, MATCH($B44, Attendance_data!$E$3:$BI$3, 0) + 4)),
    "P"
  )
  /
  (
    COUNTIFS(
      Attendance_data!$B$4:$B$1000,T$4,
      INDIRECT("Attendance_data!" &amp; ADDRESS(4, MATCH($B44, Attendance_data!$E$3:$BI$3, 0) + 4) &amp; ":" &amp;
               ADDRESS(1000, MATCH($B44, Attendance_data!$E$3:$BI$3, 0) + 4)),
      "P"
    )
    +
    COUNTIFS(
      Attendance_data!$B$4:$B$1000,T$4,
      INDIRECT("Attendance_data!" &amp; ADDRESS(4, MATCH($B44, Attendance_data!$E$3:$BI$3, 0) + 4) &amp; ":" &amp;
               ADDRESS(1000, MATCH($B44, Attendance_data!$E$3:$BI$3, 0) + 4)),
      "A"
    )
  ),"")</f>
        <v/>
      </c>
      <c r="U44" s="18" t="str">
        <f t="array" ref="U44">IFERROR(
  COUNTIFS(Attendance_data!$B$4:$B$1000,U$4,
    INDIRECT("Attendance_data!" &amp; ADDRESS(4, MATCH($B44, Attendance_data!$E$3:$BI$3, 0) + 4) &amp; ":" &amp;
             ADDRESS(1000, MATCH($B44, Attendance_data!$E$3:$BI$3, 0) + 4)),
    "P"
  )
  /
  (
    COUNTIFS(
      Attendance_data!$B$4:$B$1000,U$4,
      INDIRECT("Attendance_data!" &amp; ADDRESS(4, MATCH($B44, Attendance_data!$E$3:$BI$3, 0) + 4) &amp; ":" &amp;
               ADDRESS(1000, MATCH($B44, Attendance_data!$E$3:$BI$3, 0) + 4)),
      "P"
    )
    +
    COUNTIFS(
      Attendance_data!$B$4:$B$1000,U$4,
      INDIRECT("Attendance_data!" &amp; ADDRESS(4, MATCH($B44, Attendance_data!$E$3:$BI$3, 0) + 4) &amp; ":" &amp;
               ADDRESS(1000, MATCH($B44, Attendance_data!$E$3:$BI$3, 0) + 4)),
      "A"
    )
  ),"")</f>
        <v/>
      </c>
      <c r="V44" s="18" t="str">
        <f t="array" ref="V44">IFERROR(
  COUNTIFS(Attendance_data!$B$4:$B$1000,V$4,
    INDIRECT("Attendance_data!" &amp; ADDRESS(4, MATCH($B44, Attendance_data!$E$3:$BI$3, 0) + 4) &amp; ":" &amp;
             ADDRESS(1000, MATCH($B44, Attendance_data!$E$3:$BI$3, 0) + 4)),
    "P"
  )
  /
  (
    COUNTIFS(
      Attendance_data!$B$4:$B$1000,V$4,
      INDIRECT("Attendance_data!" &amp; ADDRESS(4, MATCH($B44, Attendance_data!$E$3:$BI$3, 0) + 4) &amp; ":" &amp;
               ADDRESS(1000, MATCH($B44, Attendance_data!$E$3:$BI$3, 0) + 4)),
      "P"
    )
    +
    COUNTIFS(
      Attendance_data!$B$4:$B$1000,V$4,
      INDIRECT("Attendance_data!" &amp; ADDRESS(4, MATCH($B44, Attendance_data!$E$3:$BI$3, 0) + 4) &amp; ":" &amp;
               ADDRESS(1000, MATCH($B44, Attendance_data!$E$3:$BI$3, 0) + 4)),
      "A"
    )
  ),"")</f>
        <v/>
      </c>
      <c r="W44" s="18" t="str">
        <f t="array" ref="W44">IFERROR(
  COUNTIFS(Attendance_data!$B$4:$B$1000,W$4,
    INDIRECT("Attendance_data!" &amp; ADDRESS(4, MATCH($B44, Attendance_data!$E$3:$BI$3, 0) + 4) &amp; ":" &amp;
             ADDRESS(1000, MATCH($B44, Attendance_data!$E$3:$BI$3, 0) + 4)),
    "P"
  )
  /
  (
    COUNTIFS(
      Attendance_data!$B$4:$B$1000,W$4,
      INDIRECT("Attendance_data!" &amp; ADDRESS(4, MATCH($B44, Attendance_data!$E$3:$BI$3, 0) + 4) &amp; ":" &amp;
               ADDRESS(1000, MATCH($B44, Attendance_data!$E$3:$BI$3, 0) + 4)),
      "P"
    )
    +
    COUNTIFS(
      Attendance_data!$B$4:$B$1000,W$4,
      INDIRECT("Attendance_data!" &amp; ADDRESS(4, MATCH($B44, Attendance_data!$E$3:$BI$3, 0) + 4) &amp; ":" &amp;
               ADDRESS(1000, MATCH($B44, Attendance_data!$E$3:$BI$3, 0) + 4)),
      "A"
    )
  ),"")</f>
        <v/>
      </c>
      <c r="X44" s="18" t="str">
        <f t="array" ref="X44">IFERROR(
  COUNTIFS(Attendance_data!$B$4:$B$1000,X$4,
    INDIRECT("Attendance_data!" &amp; ADDRESS(4, MATCH($B44, Attendance_data!$E$3:$BI$3, 0) + 4) &amp; ":" &amp;
             ADDRESS(1000, MATCH($B44, Attendance_data!$E$3:$BI$3, 0) + 4)),
    "P"
  )
  /
  (
    COUNTIFS(
      Attendance_data!$B$4:$B$1000,X$4,
      INDIRECT("Attendance_data!" &amp; ADDRESS(4, MATCH($B44, Attendance_data!$E$3:$BI$3, 0) + 4) &amp; ":" &amp;
               ADDRESS(1000, MATCH($B44, Attendance_data!$E$3:$BI$3, 0) + 4)),
      "P"
    )
    +
    COUNTIFS(
      Attendance_data!$B$4:$B$1000,X$4,
      INDIRECT("Attendance_data!" &amp; ADDRESS(4, MATCH($B44, Attendance_data!$E$3:$BI$3, 0) + 4) &amp; ":" &amp;
               ADDRESS(1000, MATCH($B44, Attendance_data!$E$3:$BI$3, 0) + 4)),
      "A"
    )
  ),"")</f>
        <v/>
      </c>
      <c r="Y44" s="18" t="str">
        <f t="array" ref="Y44">IFERROR(
  COUNTIFS(Attendance_data!$B$4:$B$1000,Y$4,
    INDIRECT("Attendance_data!" &amp; ADDRESS(4, MATCH($B44, Attendance_data!$E$3:$BI$3, 0) + 4) &amp; ":" &amp;
             ADDRESS(1000, MATCH($B44, Attendance_data!$E$3:$BI$3, 0) + 4)),
    "P"
  )
  /
  (
    COUNTIFS(
      Attendance_data!$B$4:$B$1000,Y$4,
      INDIRECT("Attendance_data!" &amp; ADDRESS(4, MATCH($B44, Attendance_data!$E$3:$BI$3, 0) + 4) &amp; ":" &amp;
               ADDRESS(1000, MATCH($B44, Attendance_data!$E$3:$BI$3, 0) + 4)),
      "P"
    )
    +
    COUNTIFS(
      Attendance_data!$B$4:$B$1000,Y$4,
      INDIRECT("Attendance_data!" &amp; ADDRESS(4, MATCH($B44, Attendance_data!$E$3:$BI$3, 0) + 4) &amp; ":" &amp;
               ADDRESS(1000, MATCH($B44, Attendance_data!$E$3:$BI$3, 0) + 4)),
      "A"
    )
  ),"")</f>
        <v/>
      </c>
      <c r="Z44" s="18" t="str">
        <f t="array" ref="Z44">IFERROR(
  COUNTIFS(Attendance_data!$B$4:$B$1000,Z$4,
    INDIRECT("Attendance_data!" &amp; ADDRESS(4, MATCH($B44, Attendance_data!$E$3:$BI$3, 0) + 4) &amp; ":" &amp;
             ADDRESS(1000, MATCH($B44, Attendance_data!$E$3:$BI$3, 0) + 4)),
    "P"
  )
  /
  (
    COUNTIFS(
      Attendance_data!$B$4:$B$1000,Z$4,
      INDIRECT("Attendance_data!" &amp; ADDRESS(4, MATCH($B44, Attendance_data!$E$3:$BI$3, 0) + 4) &amp; ":" &amp;
               ADDRESS(1000, MATCH($B44, Attendance_data!$E$3:$BI$3, 0) + 4)),
      "P"
    )
    +
    COUNTIFS(
      Attendance_data!$B$4:$B$1000,Z$4,
      INDIRECT("Attendance_data!" &amp; ADDRESS(4, MATCH($B44, Attendance_data!$E$3:$BI$3, 0) + 4) &amp; ":" &amp;
               ADDRESS(1000, MATCH($B44, Attendance_data!$E$3:$BI$3, 0) + 4)),
      "A"
    )
  ),"")</f>
        <v/>
      </c>
      <c r="AA44" s="18" t="str">
        <f t="array" ref="AA44">IFERROR(
  COUNTIFS(Attendance_data!$B$4:$B$1000,AA$4,
    INDIRECT("Attendance_data!" &amp; ADDRESS(4, MATCH($B44, Attendance_data!$E$3:$BI$3, 0) + 4) &amp; ":" &amp;
             ADDRESS(1000, MATCH($B44, Attendance_data!$E$3:$BI$3, 0) + 4)),
    "P"
  )
  /
  (
    COUNTIFS(
      Attendance_data!$B$4:$B$1000,AA$4,
      INDIRECT("Attendance_data!" &amp; ADDRESS(4, MATCH($B44, Attendance_data!$E$3:$BI$3, 0) + 4) &amp; ":" &amp;
               ADDRESS(1000, MATCH($B44, Attendance_data!$E$3:$BI$3, 0) + 4)),
      "P"
    )
    +
    COUNTIFS(
      Attendance_data!$B$4:$B$1000,AA$4,
      INDIRECT("Attendance_data!" &amp; ADDRESS(4, MATCH($B44, Attendance_data!$E$3:$BI$3, 0) + 4) &amp; ":" &amp;
               ADDRESS(1000, MATCH($B44, Attendance_data!$E$3:$BI$3, 0) + 4)),
      "A"
    )
  ),"")</f>
        <v/>
      </c>
      <c r="AB44" s="19" t="str">
        <f t="shared" si="3"/>
        <v>#DIV/0!</v>
      </c>
      <c r="AC44" s="1"/>
      <c r="AD44" s="1"/>
      <c r="AE44" s="1"/>
      <c r="AF44" s="1"/>
      <c r="AG44" s="1"/>
      <c r="AH44" s="1"/>
    </row>
    <row r="45">
      <c r="A45" s="14">
        <f t="shared" si="2"/>
        <v>41</v>
      </c>
      <c r="B45" s="23"/>
      <c r="C45" s="23"/>
      <c r="D45" s="23"/>
      <c r="E45" s="23"/>
      <c r="F45" s="23"/>
      <c r="G45" s="25"/>
      <c r="H45" s="23"/>
      <c r="I45" s="2"/>
      <c r="J45" s="1"/>
      <c r="K45" s="1"/>
      <c r="L45" s="1"/>
      <c r="M45" s="1"/>
      <c r="N45" s="1"/>
      <c r="O45" s="1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"/>
      <c r="AB45" s="1"/>
      <c r="AC45" s="1"/>
      <c r="AD45" s="1"/>
      <c r="AE45" s="1"/>
      <c r="AF45" s="1"/>
      <c r="AG45" s="1"/>
      <c r="AH45" s="1"/>
    </row>
    <row r="46">
      <c r="A46" s="14">
        <f t="shared" si="2"/>
        <v>42</v>
      </c>
      <c r="B46" s="23"/>
      <c r="C46" s="23"/>
      <c r="D46" s="23"/>
      <c r="E46" s="23"/>
      <c r="F46" s="23"/>
      <c r="G46" s="25"/>
      <c r="H46" s="23"/>
      <c r="I46" s="2"/>
      <c r="J46" s="1"/>
      <c r="K46" s="1"/>
      <c r="L46" s="1"/>
      <c r="M46" s="1"/>
      <c r="N46" s="1"/>
      <c r="O46" s="1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"/>
      <c r="AB46" s="1"/>
      <c r="AC46" s="1"/>
      <c r="AD46" s="1"/>
      <c r="AE46" s="1"/>
      <c r="AF46" s="1"/>
      <c r="AG46" s="1"/>
      <c r="AH46" s="1"/>
    </row>
    <row r="47">
      <c r="A47" s="14">
        <f t="shared" si="2"/>
        <v>43</v>
      </c>
      <c r="B47" s="23"/>
      <c r="C47" s="23"/>
      <c r="D47" s="23"/>
      <c r="E47" s="23"/>
      <c r="F47" s="23"/>
      <c r="G47" s="25"/>
      <c r="H47" s="23"/>
      <c r="I47" s="2"/>
      <c r="J47" s="1"/>
      <c r="K47" s="1"/>
      <c r="L47" s="1"/>
      <c r="M47" s="1"/>
      <c r="N47" s="1"/>
      <c r="O47" s="1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"/>
      <c r="AB47" s="1"/>
      <c r="AC47" s="1"/>
      <c r="AD47" s="1"/>
      <c r="AE47" s="1"/>
      <c r="AF47" s="1"/>
      <c r="AG47" s="1"/>
      <c r="AH47" s="1"/>
    </row>
    <row r="48">
      <c r="A48" s="14">
        <f t="shared" si="2"/>
        <v>44</v>
      </c>
      <c r="B48" s="23"/>
      <c r="C48" s="23"/>
      <c r="D48" s="23"/>
      <c r="E48" s="23"/>
      <c r="F48" s="23"/>
      <c r="G48" s="25"/>
      <c r="H48" s="23"/>
      <c r="I48" s="2"/>
      <c r="J48" s="1"/>
      <c r="K48" s="1"/>
      <c r="L48" s="1"/>
      <c r="M48" s="1"/>
      <c r="N48" s="1"/>
      <c r="O48" s="1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"/>
      <c r="AB48" s="1"/>
      <c r="AC48" s="1"/>
      <c r="AD48" s="1"/>
      <c r="AE48" s="1"/>
      <c r="AF48" s="1"/>
      <c r="AG48" s="1"/>
      <c r="AH48" s="1"/>
    </row>
    <row r="49">
      <c r="A49" s="14">
        <f t="shared" si="2"/>
        <v>45</v>
      </c>
      <c r="B49" s="23"/>
      <c r="C49" s="23"/>
      <c r="D49" s="23"/>
      <c r="E49" s="23"/>
      <c r="F49" s="23"/>
      <c r="G49" s="25"/>
      <c r="H49" s="23"/>
      <c r="I49" s="2"/>
      <c r="J49" s="1"/>
      <c r="K49" s="1"/>
      <c r="L49" s="1"/>
      <c r="M49" s="1"/>
      <c r="N49" s="1"/>
      <c r="O49" s="1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"/>
      <c r="AB49" s="1"/>
      <c r="AC49" s="1"/>
      <c r="AD49" s="1"/>
      <c r="AE49" s="1"/>
      <c r="AF49" s="1"/>
      <c r="AG49" s="1"/>
      <c r="AH49" s="1"/>
    </row>
    <row r="50">
      <c r="A50" s="14">
        <f t="shared" si="2"/>
        <v>46</v>
      </c>
      <c r="B50" s="23"/>
      <c r="C50" s="23"/>
      <c r="D50" s="23"/>
      <c r="E50" s="23"/>
      <c r="F50" s="23"/>
      <c r="G50" s="25"/>
      <c r="H50" s="23"/>
      <c r="I50" s="2"/>
      <c r="J50" s="1"/>
      <c r="K50" s="1"/>
      <c r="L50" s="1"/>
      <c r="M50" s="1"/>
      <c r="N50" s="1"/>
      <c r="O50" s="1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"/>
      <c r="AB50" s="1"/>
      <c r="AC50" s="1"/>
      <c r="AD50" s="1"/>
      <c r="AE50" s="1"/>
      <c r="AF50" s="1"/>
      <c r="AG50" s="1"/>
      <c r="AH50" s="1"/>
    </row>
    <row r="51">
      <c r="A51" s="14">
        <f t="shared" si="2"/>
        <v>47</v>
      </c>
      <c r="B51" s="23"/>
      <c r="C51" s="23"/>
      <c r="D51" s="23"/>
      <c r="E51" s="23"/>
      <c r="F51" s="23"/>
      <c r="G51" s="25"/>
      <c r="H51" s="23"/>
      <c r="I51" s="2"/>
      <c r="J51" s="1"/>
      <c r="K51" s="1"/>
      <c r="L51" s="1"/>
      <c r="M51" s="1"/>
      <c r="N51" s="1"/>
      <c r="O51" s="1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"/>
      <c r="AB51" s="1"/>
      <c r="AC51" s="1"/>
      <c r="AD51" s="1"/>
      <c r="AE51" s="1"/>
      <c r="AF51" s="1"/>
      <c r="AG51" s="1"/>
      <c r="AH51" s="1"/>
    </row>
    <row r="52">
      <c r="A52" s="14">
        <f t="shared" si="2"/>
        <v>48</v>
      </c>
      <c r="B52" s="23"/>
      <c r="C52" s="23"/>
      <c r="D52" s="23"/>
      <c r="E52" s="23"/>
      <c r="F52" s="23"/>
      <c r="G52" s="25"/>
      <c r="H52" s="23"/>
      <c r="I52" s="2"/>
      <c r="J52" s="1"/>
      <c r="K52" s="1"/>
      <c r="L52" s="1"/>
      <c r="M52" s="1"/>
      <c r="N52" s="1"/>
      <c r="O52" s="1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"/>
      <c r="AB52" s="1"/>
      <c r="AC52" s="1"/>
      <c r="AD52" s="1"/>
      <c r="AE52" s="1"/>
      <c r="AF52" s="1"/>
      <c r="AG52" s="1"/>
      <c r="AH52" s="1"/>
    </row>
    <row r="53">
      <c r="A53" s="14">
        <f t="shared" si="2"/>
        <v>49</v>
      </c>
      <c r="B53" s="23"/>
      <c r="C53" s="23"/>
      <c r="D53" s="23"/>
      <c r="E53" s="23"/>
      <c r="F53" s="23"/>
      <c r="G53" s="25"/>
      <c r="H53" s="23"/>
      <c r="I53" s="2"/>
      <c r="J53" s="1"/>
      <c r="K53" s="1"/>
      <c r="L53" s="1"/>
      <c r="M53" s="1"/>
      <c r="N53" s="1"/>
      <c r="O53" s="1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"/>
      <c r="AB53" s="1"/>
      <c r="AC53" s="1"/>
      <c r="AD53" s="1"/>
      <c r="AE53" s="1"/>
      <c r="AF53" s="1"/>
      <c r="AG53" s="1"/>
      <c r="AH53" s="1"/>
    </row>
    <row r="54">
      <c r="A54" s="14">
        <f t="shared" si="2"/>
        <v>50</v>
      </c>
      <c r="B54" s="23"/>
      <c r="C54" s="23"/>
      <c r="D54" s="23"/>
      <c r="E54" s="23"/>
      <c r="F54" s="23"/>
      <c r="G54" s="25"/>
      <c r="H54" s="23"/>
      <c r="I54" s="2"/>
      <c r="J54" s="1"/>
      <c r="K54" s="1"/>
      <c r="L54" s="1"/>
      <c r="M54" s="1"/>
      <c r="N54" s="1"/>
      <c r="O54" s="1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"/>
      <c r="AB54" s="1"/>
      <c r="AC54" s="1"/>
      <c r="AD54" s="1"/>
      <c r="AE54" s="1"/>
      <c r="AF54" s="1"/>
      <c r="AG54" s="1"/>
      <c r="AH54" s="1"/>
    </row>
    <row r="55">
      <c r="A55" s="14">
        <f t="shared" si="2"/>
        <v>51</v>
      </c>
      <c r="B55" s="23"/>
      <c r="C55" s="23"/>
      <c r="D55" s="23"/>
      <c r="E55" s="23"/>
      <c r="F55" s="23"/>
      <c r="G55" s="25"/>
      <c r="H55" s="23"/>
      <c r="I55" s="2"/>
      <c r="J55" s="1"/>
      <c r="K55" s="1"/>
      <c r="L55" s="1"/>
      <c r="M55" s="1"/>
      <c r="N55" s="1"/>
      <c r="O55" s="1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"/>
      <c r="AB55" s="1"/>
      <c r="AC55" s="1"/>
      <c r="AD55" s="1"/>
      <c r="AE55" s="1"/>
      <c r="AF55" s="1"/>
      <c r="AG55" s="1"/>
      <c r="AH55" s="1"/>
    </row>
    <row r="56">
      <c r="A56" s="14">
        <f t="shared" si="2"/>
        <v>52</v>
      </c>
      <c r="B56" s="23"/>
      <c r="C56" s="23"/>
      <c r="D56" s="23"/>
      <c r="E56" s="23"/>
      <c r="F56" s="23"/>
      <c r="G56" s="25"/>
      <c r="H56" s="23"/>
      <c r="I56" s="2"/>
      <c r="J56" s="1"/>
      <c r="K56" s="1"/>
      <c r="L56" s="1"/>
      <c r="M56" s="1"/>
      <c r="N56" s="1"/>
      <c r="O56" s="1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"/>
      <c r="AB56" s="1"/>
      <c r="AC56" s="1"/>
      <c r="AD56" s="1"/>
      <c r="AE56" s="1"/>
      <c r="AF56" s="1"/>
      <c r="AG56" s="1"/>
      <c r="AH56" s="1"/>
    </row>
    <row r="57">
      <c r="A57" s="14">
        <f t="shared" si="2"/>
        <v>53</v>
      </c>
      <c r="B57" s="23"/>
      <c r="C57" s="23"/>
      <c r="D57" s="23"/>
      <c r="E57" s="23"/>
      <c r="F57" s="23"/>
      <c r="G57" s="25"/>
      <c r="H57" s="23"/>
      <c r="I57" s="2"/>
      <c r="J57" s="1"/>
      <c r="K57" s="1"/>
      <c r="L57" s="1"/>
      <c r="M57" s="1"/>
      <c r="N57" s="1"/>
      <c r="O57" s="1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"/>
      <c r="AB57" s="1"/>
      <c r="AC57" s="1"/>
      <c r="AD57" s="1"/>
      <c r="AE57" s="1"/>
      <c r="AF57" s="1"/>
      <c r="AG57" s="1"/>
      <c r="AH57" s="1"/>
    </row>
    <row r="58">
      <c r="A58" s="14">
        <f t="shared" si="2"/>
        <v>54</v>
      </c>
      <c r="B58" s="23"/>
      <c r="C58" s="23"/>
      <c r="D58" s="23"/>
      <c r="E58" s="23"/>
      <c r="F58" s="23"/>
      <c r="G58" s="25"/>
      <c r="H58" s="23"/>
      <c r="I58" s="2"/>
      <c r="J58" s="1"/>
      <c r="K58" s="1"/>
      <c r="L58" s="1"/>
      <c r="M58" s="1"/>
      <c r="N58" s="1"/>
      <c r="O58" s="1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"/>
      <c r="AB58" s="1"/>
      <c r="AC58" s="1"/>
      <c r="AD58" s="1"/>
      <c r="AE58" s="1"/>
      <c r="AF58" s="1"/>
      <c r="AG58" s="1"/>
      <c r="AH58" s="1"/>
    </row>
    <row r="59">
      <c r="A59" s="14">
        <f t="shared" si="2"/>
        <v>55</v>
      </c>
      <c r="B59" s="23"/>
      <c r="C59" s="23"/>
      <c r="D59" s="23"/>
      <c r="E59" s="23"/>
      <c r="F59" s="23"/>
      <c r="G59" s="25"/>
      <c r="H59" s="23"/>
      <c r="I59" s="2"/>
      <c r="J59" s="1"/>
      <c r="K59" s="1"/>
      <c r="L59" s="1"/>
      <c r="M59" s="1"/>
      <c r="N59" s="1"/>
      <c r="O59" s="1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1"/>
      <c r="AB59" s="1"/>
      <c r="AC59" s="1"/>
      <c r="AD59" s="1"/>
      <c r="AE59" s="1"/>
      <c r="AF59" s="1"/>
      <c r="AG59" s="1"/>
      <c r="AH59" s="1"/>
    </row>
    <row r="60">
      <c r="A60" s="14">
        <f t="shared" si="2"/>
        <v>56</v>
      </c>
      <c r="B60" s="23"/>
      <c r="C60" s="23"/>
      <c r="D60" s="23"/>
      <c r="E60" s="23"/>
      <c r="F60" s="23"/>
      <c r="G60" s="25"/>
      <c r="H60" s="23"/>
      <c r="I60" s="2"/>
      <c r="J60" s="1"/>
      <c r="K60" s="1"/>
      <c r="L60" s="1"/>
      <c r="M60" s="1"/>
      <c r="N60" s="1"/>
      <c r="O60" s="1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1"/>
      <c r="AB60" s="1"/>
      <c r="AC60" s="1"/>
      <c r="AD60" s="1"/>
      <c r="AE60" s="1"/>
      <c r="AF60" s="1"/>
      <c r="AG60" s="1"/>
      <c r="AH60" s="1"/>
    </row>
    <row r="61">
      <c r="A61" s="14">
        <f t="shared" si="2"/>
        <v>57</v>
      </c>
      <c r="B61" s="23"/>
      <c r="C61" s="23"/>
      <c r="D61" s="23"/>
      <c r="E61" s="23"/>
      <c r="F61" s="23"/>
      <c r="G61" s="25"/>
      <c r="H61" s="23"/>
      <c r="I61" s="2"/>
      <c r="J61" s="1"/>
      <c r="K61" s="1"/>
      <c r="L61" s="1"/>
      <c r="M61" s="1"/>
      <c r="N61" s="1"/>
      <c r="O61" s="1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1"/>
      <c r="AB61" s="1"/>
      <c r="AC61" s="1"/>
      <c r="AD61" s="1"/>
      <c r="AE61" s="1"/>
      <c r="AF61" s="1"/>
      <c r="AG61" s="1"/>
      <c r="AH61" s="1"/>
    </row>
    <row r="62">
      <c r="A62" s="14">
        <f t="shared" si="2"/>
        <v>58</v>
      </c>
      <c r="B62" s="23"/>
      <c r="C62" s="23"/>
      <c r="D62" s="23"/>
      <c r="E62" s="23"/>
      <c r="F62" s="23"/>
      <c r="G62" s="25"/>
      <c r="H62" s="23"/>
      <c r="I62" s="2"/>
      <c r="J62" s="1"/>
      <c r="K62" s="1"/>
      <c r="L62" s="1"/>
      <c r="M62" s="1"/>
      <c r="N62" s="1"/>
      <c r="O62" s="1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1"/>
      <c r="AB62" s="1"/>
      <c r="AC62" s="1"/>
      <c r="AD62" s="1"/>
      <c r="AE62" s="1"/>
      <c r="AF62" s="1"/>
      <c r="AG62" s="1"/>
      <c r="AH62" s="1"/>
    </row>
    <row r="63">
      <c r="A63" s="14">
        <f t="shared" si="2"/>
        <v>59</v>
      </c>
      <c r="B63" s="23"/>
      <c r="C63" s="23"/>
      <c r="D63" s="23"/>
      <c r="E63" s="23"/>
      <c r="F63" s="23"/>
      <c r="G63" s="25"/>
      <c r="H63" s="23"/>
      <c r="I63" s="2"/>
      <c r="J63" s="1"/>
      <c r="K63" s="1"/>
      <c r="L63" s="1"/>
      <c r="M63" s="1"/>
      <c r="N63" s="1"/>
      <c r="O63" s="1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1"/>
      <c r="AB63" s="1"/>
      <c r="AC63" s="1"/>
      <c r="AD63" s="1"/>
      <c r="AE63" s="1"/>
      <c r="AF63" s="1"/>
      <c r="AG63" s="1"/>
      <c r="AH63" s="1"/>
    </row>
    <row r="64">
      <c r="A64" s="14">
        <f t="shared" si="2"/>
        <v>60</v>
      </c>
      <c r="B64" s="23"/>
      <c r="C64" s="23"/>
      <c r="D64" s="23"/>
      <c r="E64" s="23"/>
      <c r="F64" s="23"/>
      <c r="G64" s="25"/>
      <c r="H64" s="23"/>
      <c r="I64" s="2"/>
      <c r="J64" s="1"/>
      <c r="K64" s="1"/>
      <c r="L64" s="1"/>
      <c r="M64" s="1"/>
      <c r="N64" s="1"/>
      <c r="O64" s="1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1"/>
      <c r="AB64" s="1"/>
      <c r="AC64" s="1"/>
      <c r="AD64" s="1"/>
      <c r="AE64" s="1"/>
      <c r="AF64" s="1"/>
      <c r="AG64" s="1"/>
      <c r="AH64" s="1"/>
    </row>
    <row r="65">
      <c r="A65" s="14">
        <f t="shared" si="2"/>
        <v>61</v>
      </c>
      <c r="B65" s="23"/>
      <c r="C65" s="23"/>
      <c r="D65" s="23"/>
      <c r="E65" s="23"/>
      <c r="F65" s="23"/>
      <c r="G65" s="25"/>
      <c r="H65" s="23"/>
      <c r="I65" s="2"/>
      <c r="J65" s="1"/>
      <c r="K65" s="1"/>
      <c r="L65" s="1"/>
      <c r="M65" s="1"/>
      <c r="N65" s="1"/>
      <c r="O65" s="1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1"/>
      <c r="AB65" s="1"/>
      <c r="AC65" s="1"/>
      <c r="AD65" s="1"/>
      <c r="AE65" s="1"/>
      <c r="AF65" s="1"/>
      <c r="AG65" s="1"/>
      <c r="AH65" s="1"/>
    </row>
    <row r="66">
      <c r="A66" s="14">
        <f t="shared" si="2"/>
        <v>62</v>
      </c>
      <c r="B66" s="23"/>
      <c r="C66" s="23"/>
      <c r="D66" s="23"/>
      <c r="E66" s="23"/>
      <c r="F66" s="23"/>
      <c r="G66" s="25"/>
      <c r="H66" s="23"/>
      <c r="I66" s="2"/>
      <c r="J66" s="1"/>
      <c r="K66" s="1"/>
      <c r="L66" s="1"/>
      <c r="M66" s="1"/>
      <c r="N66" s="1"/>
      <c r="O66" s="1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1"/>
      <c r="AB66" s="1"/>
      <c r="AC66" s="1"/>
      <c r="AD66" s="1"/>
      <c r="AE66" s="1"/>
      <c r="AF66" s="1"/>
      <c r="AG66" s="1"/>
      <c r="AH66" s="1"/>
    </row>
    <row r="67">
      <c r="A67" s="14">
        <f t="shared" si="2"/>
        <v>63</v>
      </c>
      <c r="B67" s="23"/>
      <c r="C67" s="23"/>
      <c r="D67" s="23"/>
      <c r="E67" s="23"/>
      <c r="F67" s="23"/>
      <c r="G67" s="25"/>
      <c r="H67" s="23"/>
      <c r="I67" s="2"/>
      <c r="J67" s="1"/>
      <c r="K67" s="1"/>
      <c r="L67" s="1"/>
      <c r="M67" s="1"/>
      <c r="N67" s="1"/>
      <c r="O67" s="1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1"/>
      <c r="AB67" s="1"/>
      <c r="AC67" s="1"/>
      <c r="AD67" s="1"/>
      <c r="AE67" s="1"/>
      <c r="AF67" s="1"/>
      <c r="AG67" s="1"/>
      <c r="AH67" s="1"/>
    </row>
    <row r="68">
      <c r="A68" s="14">
        <f t="shared" si="2"/>
        <v>64</v>
      </c>
      <c r="B68" s="23"/>
      <c r="C68" s="23"/>
      <c r="D68" s="23"/>
      <c r="E68" s="23"/>
      <c r="F68" s="23"/>
      <c r="G68" s="25"/>
      <c r="H68" s="23"/>
      <c r="I68" s="2"/>
      <c r="J68" s="1"/>
      <c r="K68" s="1"/>
      <c r="L68" s="1"/>
      <c r="M68" s="1"/>
      <c r="N68" s="1"/>
      <c r="O68" s="1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1"/>
      <c r="AB68" s="1"/>
      <c r="AC68" s="1"/>
      <c r="AD68" s="1"/>
      <c r="AE68" s="1"/>
      <c r="AF68" s="1"/>
      <c r="AG68" s="1"/>
      <c r="AH68" s="1"/>
    </row>
    <row r="69">
      <c r="A69" s="14">
        <f t="shared" si="2"/>
        <v>65</v>
      </c>
      <c r="B69" s="23"/>
      <c r="C69" s="23"/>
      <c r="D69" s="23"/>
      <c r="E69" s="23"/>
      <c r="F69" s="23"/>
      <c r="G69" s="25"/>
      <c r="H69" s="23"/>
      <c r="I69" s="2"/>
      <c r="J69" s="1"/>
      <c r="K69" s="1"/>
      <c r="L69" s="1"/>
      <c r="M69" s="1"/>
      <c r="N69" s="1"/>
      <c r="O69" s="1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1"/>
      <c r="AB69" s="1"/>
      <c r="AC69" s="1"/>
      <c r="AD69" s="1"/>
      <c r="AE69" s="1"/>
      <c r="AF69" s="1"/>
      <c r="AG69" s="1"/>
      <c r="AH69" s="1"/>
    </row>
    <row r="70">
      <c r="A70" s="14">
        <f t="shared" si="2"/>
        <v>66</v>
      </c>
      <c r="B70" s="23"/>
      <c r="C70" s="23"/>
      <c r="D70" s="23"/>
      <c r="E70" s="23"/>
      <c r="F70" s="23"/>
      <c r="G70" s="25"/>
      <c r="H70" s="23"/>
      <c r="I70" s="2"/>
      <c r="J70" s="1"/>
      <c r="K70" s="1"/>
      <c r="L70" s="1"/>
      <c r="M70" s="1"/>
      <c r="N70" s="1"/>
      <c r="O70" s="1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1"/>
      <c r="AB70" s="1"/>
      <c r="AC70" s="1"/>
      <c r="AD70" s="1"/>
      <c r="AE70" s="1"/>
      <c r="AF70" s="1"/>
      <c r="AG70" s="1"/>
      <c r="AH70" s="1"/>
    </row>
    <row r="71">
      <c r="A71" s="14">
        <f t="shared" si="2"/>
        <v>67</v>
      </c>
      <c r="B71" s="23"/>
      <c r="C71" s="23"/>
      <c r="D71" s="23"/>
      <c r="E71" s="23"/>
      <c r="F71" s="23"/>
      <c r="G71" s="25"/>
      <c r="H71" s="23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>
      <c r="A72" s="14">
        <f t="shared" si="2"/>
        <v>68</v>
      </c>
      <c r="B72" s="23"/>
      <c r="C72" s="23"/>
      <c r="D72" s="23"/>
      <c r="E72" s="23"/>
      <c r="F72" s="23"/>
      <c r="G72" s="25"/>
      <c r="H72" s="23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>
      <c r="A73" s="14">
        <f t="shared" si="2"/>
        <v>69</v>
      </c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>
      <c r="A74" s="14">
        <f t="shared" si="2"/>
        <v>70</v>
      </c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>
      <c r="A77" s="1"/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>
      <c r="A78" s="1"/>
      <c r="B78" s="1"/>
      <c r="C78" s="1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>
      <c r="A79" s="1"/>
      <c r="B79" s="1"/>
      <c r="C79" s="1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>
      <c r="A80" s="1"/>
      <c r="B80" s="1"/>
      <c r="C80" s="1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>
      <c r="A81" s="1"/>
      <c r="B81" s="1"/>
      <c r="C81" s="1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>
      <c r="A82" s="1"/>
      <c r="B82" s="1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>
      <c r="A83" s="1"/>
      <c r="B83" s="1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>
      <c r="A84" s="1"/>
      <c r="B84" s="1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>
      <c r="A85" s="1"/>
      <c r="B85" s="1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>
      <c r="A88" s="1"/>
      <c r="B88" s="1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>
      <c r="A89" s="1"/>
      <c r="B89" s="1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>
      <c r="A90" s="1"/>
      <c r="B90" s="1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>
      <c r="A91" s="1"/>
      <c r="B91" s="1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>
      <c r="A94" s="1"/>
      <c r="B94" s="1"/>
      <c r="C94" s="1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>
      <c r="A95" s="1"/>
      <c r="B95" s="1"/>
      <c r="C95" s="1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>
      <c r="A991" s="1"/>
      <c r="B991" s="1"/>
      <c r="C991" s="1"/>
      <c r="D991" s="1"/>
      <c r="E991" s="1"/>
      <c r="F991" s="1"/>
      <c r="G991" s="1"/>
      <c r="H991" s="1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>
      <c r="A992" s="1"/>
      <c r="B992" s="1"/>
      <c r="C992" s="1"/>
      <c r="D992" s="1"/>
      <c r="E992" s="1"/>
      <c r="F992" s="1"/>
      <c r="G992" s="1"/>
      <c r="H992" s="1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>
      <c r="A993" s="1"/>
      <c r="B993" s="1"/>
      <c r="C993" s="1"/>
      <c r="D993" s="1"/>
      <c r="E993" s="1"/>
      <c r="F993" s="1"/>
      <c r="G993" s="1"/>
      <c r="H993" s="1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>
      <c r="A994" s="1"/>
      <c r="B994" s="1"/>
      <c r="C994" s="1"/>
      <c r="D994" s="1"/>
      <c r="E994" s="1"/>
      <c r="F994" s="1"/>
      <c r="G994" s="1"/>
      <c r="H994" s="1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>
      <c r="A995" s="1"/>
      <c r="B995" s="1"/>
      <c r="C995" s="1"/>
      <c r="D995" s="1"/>
      <c r="E995" s="1"/>
      <c r="F995" s="1"/>
      <c r="G995" s="1"/>
      <c r="H995" s="1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>
      <c r="A996" s="1"/>
      <c r="B996" s="1"/>
      <c r="C996" s="1"/>
      <c r="D996" s="1"/>
      <c r="E996" s="1"/>
      <c r="F996" s="1"/>
      <c r="G996" s="1"/>
      <c r="H996" s="1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>
      <c r="A997" s="1"/>
      <c r="B997" s="1"/>
      <c r="C997" s="1"/>
      <c r="D997" s="1"/>
      <c r="E997" s="1"/>
      <c r="F997" s="1"/>
      <c r="G997" s="1"/>
      <c r="H997" s="1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>
      <c r="A998" s="1"/>
      <c r="B998" s="1"/>
      <c r="C998" s="1"/>
      <c r="D998" s="1"/>
      <c r="E998" s="1"/>
      <c r="F998" s="1"/>
      <c r="G998" s="1"/>
      <c r="H998" s="1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>
      <c r="A999" s="1"/>
      <c r="B999" s="1"/>
      <c r="C999" s="1"/>
      <c r="D999" s="1"/>
      <c r="E999" s="1"/>
      <c r="F999" s="1"/>
      <c r="G999" s="1"/>
      <c r="H999" s="1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</sheetData>
  <mergeCells count="2">
    <mergeCell ref="P1:Z1"/>
    <mergeCell ref="J3:O3"/>
  </mergeCells>
  <dataValidations>
    <dataValidation type="list" allowBlank="1" showErrorMessage="1" sqref="I5:I74">
      <formula1>"Active ,Dropout"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6.5"/>
    <col customWidth="1" min="2" max="2" width="11.75"/>
    <col customWidth="1" min="3" max="3" width="12.13"/>
    <col customWidth="1" min="5" max="5" width="9.0"/>
    <col customWidth="1" min="6" max="31" width="8.13"/>
    <col customWidth="1" min="32" max="32" width="10.38"/>
    <col customWidth="1" min="33" max="33" width="9.25"/>
    <col customWidth="1" min="34" max="34" width="9.88"/>
    <col customWidth="1" min="35" max="58" width="8.13"/>
    <col customWidth="1" min="59" max="59" width="14.38"/>
  </cols>
  <sheetData>
    <row r="1">
      <c r="A1" s="23"/>
      <c r="B1" s="27" t="s">
        <v>108</v>
      </c>
      <c r="C1" s="23"/>
      <c r="D1" s="27" t="s">
        <v>109</v>
      </c>
      <c r="E1" s="20">
        <f t="shared" ref="E1:BC1" si="1">COLUMN(E1)-COLUMN($D$1)</f>
        <v>1</v>
      </c>
      <c r="F1" s="20">
        <f t="shared" si="1"/>
        <v>2</v>
      </c>
      <c r="G1" s="20">
        <f t="shared" si="1"/>
        <v>3</v>
      </c>
      <c r="H1" s="20">
        <f t="shared" si="1"/>
        <v>4</v>
      </c>
      <c r="I1" s="20">
        <f t="shared" si="1"/>
        <v>5</v>
      </c>
      <c r="J1" s="20">
        <f t="shared" si="1"/>
        <v>6</v>
      </c>
      <c r="K1" s="20">
        <f t="shared" si="1"/>
        <v>7</v>
      </c>
      <c r="L1" s="20">
        <f t="shared" si="1"/>
        <v>8</v>
      </c>
      <c r="M1" s="20">
        <f t="shared" si="1"/>
        <v>9</v>
      </c>
      <c r="N1" s="20">
        <f t="shared" si="1"/>
        <v>10</v>
      </c>
      <c r="O1" s="20">
        <f t="shared" si="1"/>
        <v>11</v>
      </c>
      <c r="P1" s="20">
        <f t="shared" si="1"/>
        <v>12</v>
      </c>
      <c r="Q1" s="20">
        <f t="shared" si="1"/>
        <v>13</v>
      </c>
      <c r="R1" s="20">
        <f t="shared" si="1"/>
        <v>14</v>
      </c>
      <c r="S1" s="20">
        <f t="shared" si="1"/>
        <v>15</v>
      </c>
      <c r="T1" s="20">
        <f t="shared" si="1"/>
        <v>16</v>
      </c>
      <c r="U1" s="20">
        <f t="shared" si="1"/>
        <v>17</v>
      </c>
      <c r="V1" s="20">
        <f t="shared" si="1"/>
        <v>18</v>
      </c>
      <c r="W1" s="20">
        <f t="shared" si="1"/>
        <v>19</v>
      </c>
      <c r="X1" s="20">
        <f t="shared" si="1"/>
        <v>20</v>
      </c>
      <c r="Y1" s="20">
        <f t="shared" si="1"/>
        <v>21</v>
      </c>
      <c r="Z1" s="20">
        <f t="shared" si="1"/>
        <v>22</v>
      </c>
      <c r="AA1" s="20">
        <f t="shared" si="1"/>
        <v>23</v>
      </c>
      <c r="AB1" s="20">
        <f t="shared" si="1"/>
        <v>24</v>
      </c>
      <c r="AC1" s="20">
        <f t="shared" si="1"/>
        <v>25</v>
      </c>
      <c r="AD1" s="20">
        <f t="shared" si="1"/>
        <v>26</v>
      </c>
      <c r="AE1" s="20">
        <f t="shared" si="1"/>
        <v>27</v>
      </c>
      <c r="AF1" s="20">
        <f t="shared" si="1"/>
        <v>28</v>
      </c>
      <c r="AG1" s="20">
        <f t="shared" si="1"/>
        <v>29</v>
      </c>
      <c r="AH1" s="20">
        <f t="shared" si="1"/>
        <v>30</v>
      </c>
      <c r="AI1" s="20">
        <f t="shared" si="1"/>
        <v>31</v>
      </c>
      <c r="AJ1" s="20">
        <f t="shared" si="1"/>
        <v>32</v>
      </c>
      <c r="AK1" s="20">
        <f t="shared" si="1"/>
        <v>33</v>
      </c>
      <c r="AL1" s="20">
        <f t="shared" si="1"/>
        <v>34</v>
      </c>
      <c r="AM1" s="20">
        <f t="shared" si="1"/>
        <v>35</v>
      </c>
      <c r="AN1" s="20">
        <f t="shared" si="1"/>
        <v>36</v>
      </c>
      <c r="AO1" s="20">
        <f t="shared" si="1"/>
        <v>37</v>
      </c>
      <c r="AP1" s="20">
        <f t="shared" si="1"/>
        <v>38</v>
      </c>
      <c r="AQ1" s="20">
        <f t="shared" si="1"/>
        <v>39</v>
      </c>
      <c r="AR1" s="20">
        <f t="shared" si="1"/>
        <v>40</v>
      </c>
      <c r="AS1" s="20">
        <f t="shared" si="1"/>
        <v>41</v>
      </c>
      <c r="AT1" s="20">
        <f t="shared" si="1"/>
        <v>42</v>
      </c>
      <c r="AU1" s="20">
        <f t="shared" si="1"/>
        <v>43</v>
      </c>
      <c r="AV1" s="20">
        <f t="shared" si="1"/>
        <v>44</v>
      </c>
      <c r="AW1" s="20">
        <f t="shared" si="1"/>
        <v>45</v>
      </c>
      <c r="AX1" s="20">
        <f t="shared" si="1"/>
        <v>46</v>
      </c>
      <c r="AY1" s="20">
        <f t="shared" si="1"/>
        <v>47</v>
      </c>
      <c r="AZ1" s="20">
        <f t="shared" si="1"/>
        <v>48</v>
      </c>
      <c r="BA1" s="20">
        <f t="shared" si="1"/>
        <v>49</v>
      </c>
      <c r="BB1" s="20">
        <f t="shared" si="1"/>
        <v>50</v>
      </c>
      <c r="BC1" s="20">
        <f t="shared" si="1"/>
        <v>51</v>
      </c>
      <c r="BD1" s="28"/>
      <c r="BE1" s="28"/>
      <c r="BF1" s="28"/>
      <c r="BG1" s="28"/>
      <c r="BH1" s="28"/>
      <c r="BI1" s="29"/>
      <c r="BJ1" s="28"/>
      <c r="BK1" s="28"/>
      <c r="BL1" s="28"/>
      <c r="BM1" s="28"/>
      <c r="BN1" s="28"/>
      <c r="BO1" s="28"/>
    </row>
    <row r="2">
      <c r="A2" s="1"/>
      <c r="B2" s="30"/>
      <c r="D2" s="31" t="s">
        <v>110</v>
      </c>
      <c r="E2" s="32" t="str">
        <f>OFFSET(Database_Unique_Code!$C$4,E$1,0)</f>
        <v>Tanishka chandrakant bordekar</v>
      </c>
      <c r="F2" s="32" t="str">
        <f>OFFSET(Database_Unique_Code!$C$4,F$1,0)</f>
        <v>Rashi vitthal sakharkar</v>
      </c>
      <c r="G2" s="32" t="str">
        <f>OFFSET(Database_Unique_Code!$C$4,G$1,0)</f>
        <v>Rakhi vitthal sakharkar</v>
      </c>
      <c r="H2" s="32" t="str">
        <f>OFFSET(Database_Unique_Code!$C$4,H$1,0)</f>
        <v>Ankita Ravindra Roy</v>
      </c>
      <c r="I2" s="32" t="str">
        <f>OFFSET(Database_Unique_Code!$C$4,I$1,0)</f>
        <v>Ashok Govinda Kanojiya</v>
      </c>
      <c r="J2" s="32" t="str">
        <f>OFFSET(Database_Unique_Code!$C$4,J$1,0)</f>
        <v>Soham anil waghmare</v>
      </c>
      <c r="K2" s="32" t="str">
        <f>OFFSET(Database_Unique_Code!$C$4,K$1,0)</f>
        <v>Subodh Ravi Hatkar</v>
      </c>
      <c r="L2" s="32" t="str">
        <f>OFFSET(Database_Unique_Code!$C$4,L$1,0)</f>
        <v>Mohini Bansraj Kanojiya</v>
      </c>
      <c r="M2" s="32" t="str">
        <f>OFFSET(Database_Unique_Code!$C$4,M$1,0)</f>
        <v>Aditya Gyaniram Mohare</v>
      </c>
      <c r="N2" s="32" t="str">
        <f>OFFSET(Database_Unique_Code!$C$4,N$1,0)</f>
        <v>Wajid Mainuddin Ansari</v>
      </c>
      <c r="O2" s="32" t="str">
        <f>OFFSET(Database_Unique_Code!$C$4,O$1,0)</f>
        <v>sajid Mainuddin Ansari</v>
      </c>
      <c r="P2" s="32" t="str">
        <f>OFFSET(Database_Unique_Code!$C$4,P$1,0)</f>
        <v>Sachin Gangaram Sahani</v>
      </c>
      <c r="Q2" s="32" t="str">
        <f>OFFSET(Database_Unique_Code!$C$4,Q$1,0)</f>
        <v>Aarohi Ravi Hatkar</v>
      </c>
      <c r="R2" s="32" t="str">
        <f>OFFSET(Database_Unique_Code!$C$4,R$1,0)</f>
        <v>Manav Ganesh Shinde</v>
      </c>
      <c r="S2" s="32" t="str">
        <f>OFFSET(Database_Unique_Code!$C$4,S$1,0)</f>
        <v>Anjali Surendra Paswan</v>
      </c>
      <c r="T2" s="32" t="str">
        <f>OFFSET(Database_Unique_Code!$C$4,T$1,0)</f>
        <v>Chanchal munna rajbhar</v>
      </c>
      <c r="U2" s="32" t="str">
        <f>OFFSET(Database_Unique_Code!$C$4,U$1,0)</f>
        <v>Ishani Surendra Paswan</v>
      </c>
      <c r="V2" s="32" t="str">
        <f>OFFSET(Database_Unique_Code!$C$4,V$1,0)</f>
        <v>Shivani Yogendra Rajbhar</v>
      </c>
      <c r="W2" s="32" t="str">
        <f>OFFSET(Database_Unique_Code!$C$4,W$1,0)</f>
        <v>Atharv Nilesh Hatkar</v>
      </c>
      <c r="X2" s="32" t="str">
        <f>OFFSET(Database_Unique_Code!$C$4,X$1,0)</f>
        <v>Riya Mastram Varma</v>
      </c>
      <c r="Y2" s="32" t="str">
        <f>OFFSET(Database_Unique_Code!$C$4,Y$1,0)</f>
        <v>Shivam Munna rajbhar</v>
      </c>
      <c r="Z2" s="32" t="str">
        <f>OFFSET(Database_Unique_Code!$C$4,Z$1,0)</f>
        <v>Sanjana Surendra Paswan</v>
      </c>
      <c r="AA2" s="32" t="str">
        <f>OFFSET(Database_Unique_Code!$C$4,AA$1,0)</f>
        <v>Jyoti yogendra Rajbhar</v>
      </c>
      <c r="AB2" s="32" t="str">
        <f>OFFSET(Database_Unique_Code!$C$4,AB$1,0)</f>
        <v>Pooja Manpuran Malhotra</v>
      </c>
      <c r="AC2" s="32" t="str">
        <f>OFFSET(Database_Unique_Code!$C$4,AC$1,0)</f>
        <v>Ananya Ganesh Shinde</v>
      </c>
      <c r="AD2" s="32" t="str">
        <f>OFFSET(Database_Unique_Code!$C$4,AD$1,0)</f>
        <v>Radhika Bhimrao Gavhane</v>
      </c>
      <c r="AE2" s="32" t="str">
        <f>OFFSET(Database_Unique_Code!$C$4,AE$1,0)</f>
        <v>Rajvi mishra</v>
      </c>
      <c r="AF2" s="32" t="str">
        <f>OFFSET(Database_Unique_Code!$C$4,AF$1,0)</f>
        <v>Asad sirajuddin shaikh</v>
      </c>
      <c r="AG2" s="32" t="str">
        <f>OFFSET(Database_Unique_Code!$C$4,AG$1,0)</f>
        <v>Anas sirajuddin shaikh</v>
      </c>
      <c r="AH2" s="32" t="str">
        <f>OFFSET(Database_Unique_Code!$C$4,AH$1,0)</f>
        <v>Anam sirajuddin shaikh</v>
      </c>
      <c r="AI2" s="32" t="str">
        <f>OFFSET(Database_Unique_Code!$C$4,AI$1,0)</f>
        <v/>
      </c>
      <c r="AJ2" s="32" t="str">
        <f>OFFSET(Database_Unique_Code!$C$4,AJ$1,0)</f>
        <v/>
      </c>
      <c r="AK2" s="32" t="str">
        <f>OFFSET(Database_Unique_Code!$C$4,AK$1,0)</f>
        <v/>
      </c>
      <c r="AL2" s="32" t="str">
        <f>OFFSET(Database_Unique_Code!$C$4,AL$1,0)</f>
        <v/>
      </c>
      <c r="AM2" s="32" t="str">
        <f>OFFSET(Database_Unique_Code!$C$4,AM$1,0)</f>
        <v/>
      </c>
      <c r="AN2" s="32" t="str">
        <f>OFFSET(Database_Unique_Code!$C$4,AN$1,0)</f>
        <v/>
      </c>
      <c r="AO2" s="32" t="str">
        <f>OFFSET(Database_Unique_Code!$C$4,AO$1,0)</f>
        <v/>
      </c>
      <c r="AP2" s="32" t="str">
        <f>OFFSET(Database_Unique_Code!$C$4,AP$1,0)</f>
        <v/>
      </c>
      <c r="AQ2" s="32" t="str">
        <f>OFFSET(Database_Unique_Code!$C$4,AQ$1,0)</f>
        <v/>
      </c>
      <c r="AR2" s="32" t="str">
        <f>OFFSET(Database_Unique_Code!$C$4,AR$1,0)</f>
        <v/>
      </c>
      <c r="AS2" s="32" t="str">
        <f>OFFSET(Database_Unique_Code!$C$4,AS$1,0)</f>
        <v/>
      </c>
      <c r="AT2" s="32" t="str">
        <f>OFFSET(Database_Unique_Code!$C$4,AT$1,0)</f>
        <v/>
      </c>
      <c r="AU2" s="32" t="str">
        <f>OFFSET(Database_Unique_Code!$C$4,AU$1,0)</f>
        <v/>
      </c>
      <c r="AV2" s="32" t="str">
        <f>OFFSET(Database_Unique_Code!$C$4,AV$1,0)</f>
        <v/>
      </c>
      <c r="AW2" s="32" t="str">
        <f>OFFSET(Database_Unique_Code!$C$4,AW$1,0)</f>
        <v/>
      </c>
      <c r="AX2" s="32" t="str">
        <f>OFFSET(Database_Unique_Code!$C$4,AX$1,0)</f>
        <v/>
      </c>
      <c r="AY2" s="32" t="str">
        <f>OFFSET(Database_Unique_Code!$C$4,AY$1,0)</f>
        <v/>
      </c>
      <c r="AZ2" s="32" t="str">
        <f>OFFSET(Database_Unique_Code!$C$4,AZ$1,0)</f>
        <v/>
      </c>
      <c r="BA2" s="32" t="str">
        <f>OFFSET(Database_Unique_Code!$C$4,BA$1,0)</f>
        <v/>
      </c>
      <c r="BB2" s="32" t="str">
        <f>OFFSET(Database_Unique_Code!$C$4,BB$1,0)</f>
        <v/>
      </c>
      <c r="BC2" s="32" t="str">
        <f>OFFSET(Database_Unique_Code!$C$4,BC$1,0)</f>
        <v/>
      </c>
      <c r="BD2" s="33"/>
      <c r="BE2" s="33"/>
      <c r="BF2" s="33"/>
      <c r="BG2" s="34" t="s">
        <v>111</v>
      </c>
      <c r="BH2" s="34" t="s">
        <v>112</v>
      </c>
      <c r="BI2" s="35" t="s">
        <v>113</v>
      </c>
      <c r="BJ2" s="36" t="s">
        <v>114</v>
      </c>
      <c r="BK2" s="36" t="s">
        <v>91</v>
      </c>
      <c r="BL2" s="36" t="s">
        <v>115</v>
      </c>
      <c r="BM2" s="34" t="s">
        <v>116</v>
      </c>
      <c r="BN2" s="28"/>
      <c r="BO2" s="28"/>
    </row>
    <row r="3">
      <c r="A3" s="31" t="s">
        <v>117</v>
      </c>
      <c r="B3" s="31" t="s">
        <v>118</v>
      </c>
      <c r="C3" s="31" t="s">
        <v>119</v>
      </c>
      <c r="D3" s="37" t="s">
        <v>3</v>
      </c>
      <c r="E3" s="38" t="str">
        <f>OFFSET(Database_Unique_Code!$B$4,E$1,0)</f>
        <v>NMUD01</v>
      </c>
      <c r="F3" s="38" t="str">
        <f>OFFSET(Database_Unique_Code!$B$4,F$1,0)</f>
        <v>NMUD02</v>
      </c>
      <c r="G3" s="38" t="str">
        <f>OFFSET(Database_Unique_Code!$B$4,G$1,0)</f>
        <v>NMUD05</v>
      </c>
      <c r="H3" s="38" t="str">
        <f>OFFSET(Database_Unique_Code!$B$4,H$1,0)</f>
        <v>NMUD06</v>
      </c>
      <c r="I3" s="38" t="str">
        <f>OFFSET(Database_Unique_Code!$B$4,I$1,0)</f>
        <v>NMUD08</v>
      </c>
      <c r="J3" s="38" t="str">
        <f>OFFSET(Database_Unique_Code!$B$4,J$1,0)</f>
        <v>NMUD28</v>
      </c>
      <c r="K3" s="38" t="str">
        <f>OFFSET(Database_Unique_Code!$B$4,K$1,0)</f>
        <v>NMUD29</v>
      </c>
      <c r="L3" s="38" t="str">
        <f>OFFSET(Database_Unique_Code!$B$4,L$1,0)</f>
        <v>NMUD30</v>
      </c>
      <c r="M3" s="38" t="str">
        <f>OFFSET(Database_Unique_Code!$B$4,M$1,0)</f>
        <v>NMUD33</v>
      </c>
      <c r="N3" s="38" t="str">
        <f>OFFSET(Database_Unique_Code!$B$4,N$1,0)</f>
        <v>NMUD59</v>
      </c>
      <c r="O3" s="38" t="str">
        <f>OFFSET(Database_Unique_Code!$B$4,O$1,0)</f>
        <v>NMUD60</v>
      </c>
      <c r="P3" s="38" t="str">
        <f>OFFSET(Database_Unique_Code!$B$4,P$1,0)</f>
        <v>NMUD62</v>
      </c>
      <c r="Q3" s="38" t="str">
        <f>OFFSET(Database_Unique_Code!$B$4,Q$1,0)</f>
        <v>NMUD63</v>
      </c>
      <c r="R3" s="38" t="str">
        <f>OFFSET(Database_Unique_Code!$B$4,R$1,0)</f>
        <v>NMUD70</v>
      </c>
      <c r="S3" s="38" t="str">
        <f>OFFSET(Database_Unique_Code!$B$4,S$1,0)</f>
        <v>NMUD73</v>
      </c>
      <c r="T3" s="38" t="str">
        <f>OFFSET(Database_Unique_Code!$B$4,T$1,0)</f>
        <v>NMUD74</v>
      </c>
      <c r="U3" s="38" t="str">
        <f>OFFSET(Database_Unique_Code!$B$4,U$1,0)</f>
        <v>NMUD75</v>
      </c>
      <c r="V3" s="38" t="str">
        <f>OFFSET(Database_Unique_Code!$B$4,V$1,0)</f>
        <v>NMUD76</v>
      </c>
      <c r="W3" s="38" t="str">
        <f>OFFSET(Database_Unique_Code!$B$4,W$1,0)</f>
        <v>NMUD77</v>
      </c>
      <c r="X3" s="38" t="str">
        <f>OFFSET(Database_Unique_Code!$B$4,X$1,0)</f>
        <v>NMUD78</v>
      </c>
      <c r="Y3" s="38" t="str">
        <f>OFFSET(Database_Unique_Code!$B$4,Y$1,0)</f>
        <v>NMUD79</v>
      </c>
      <c r="Z3" s="38" t="str">
        <f>OFFSET(Database_Unique_Code!$B$4,Z$1,0)</f>
        <v>NMUD80</v>
      </c>
      <c r="AA3" s="38" t="str">
        <f>OFFSET(Database_Unique_Code!$B$4,AA$1,0)</f>
        <v>NMUD81</v>
      </c>
      <c r="AB3" s="38" t="str">
        <f>OFFSET(Database_Unique_Code!$B$4,AB$1,0)</f>
        <v>NMUD82</v>
      </c>
      <c r="AC3" s="38" t="str">
        <f>OFFSET(Database_Unique_Code!$B$4,AC$1,0)</f>
        <v>NMUD83</v>
      </c>
      <c r="AD3" s="38" t="str">
        <f>OFFSET(Database_Unique_Code!$B$4,AD$1,0)</f>
        <v>NMUD84</v>
      </c>
      <c r="AE3" s="38" t="str">
        <f>OFFSET(Database_Unique_Code!$B$4,AE$1,0)</f>
        <v>NMUD85</v>
      </c>
      <c r="AF3" s="38" t="str">
        <f>OFFSET(Database_Unique_Code!$B$4,AF$1,0)</f>
        <v>NMUD86</v>
      </c>
      <c r="AG3" s="38" t="str">
        <f>OFFSET(Database_Unique_Code!$B$4,AG$1,0)</f>
        <v>NMUD87</v>
      </c>
      <c r="AH3" s="38" t="str">
        <f>OFFSET(Database_Unique_Code!$B$4,AH$1,0)</f>
        <v>NMUD88</v>
      </c>
      <c r="AI3" s="39"/>
      <c r="AJ3" s="39"/>
      <c r="AK3" s="40"/>
      <c r="AL3" s="39"/>
      <c r="AM3" s="39"/>
      <c r="AN3" s="39"/>
      <c r="AO3" s="39"/>
      <c r="AP3" s="40"/>
      <c r="AQ3" s="41"/>
      <c r="AR3" s="41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2" t="s">
        <v>120</v>
      </c>
      <c r="BI3" s="43"/>
      <c r="BJ3" s="44" t="s">
        <v>121</v>
      </c>
      <c r="BK3" s="44" t="s">
        <v>92</v>
      </c>
      <c r="BL3" s="44" t="s">
        <v>122</v>
      </c>
      <c r="BM3" s="44" t="s">
        <v>123</v>
      </c>
      <c r="BN3" s="45"/>
      <c r="BO3" s="46"/>
    </row>
    <row r="4">
      <c r="A4" s="14">
        <f t="shared" ref="A4:A337" si="2">ROW()-3</f>
        <v>1</v>
      </c>
      <c r="B4" s="47">
        <f t="shared" ref="B4:B337" si="3">DATE(YEAR(C4),MONTH(C4),1)</f>
        <v>45809</v>
      </c>
      <c r="C4" s="48">
        <v>45809.0</v>
      </c>
      <c r="D4" s="49">
        <f t="shared" ref="D4:D337" si="4">C4</f>
        <v>45809</v>
      </c>
      <c r="E4" s="50"/>
      <c r="F4" s="51"/>
      <c r="G4" s="52"/>
      <c r="H4" s="52"/>
      <c r="I4" s="52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2"/>
      <c r="AD4" s="52"/>
      <c r="AE4" s="51"/>
      <c r="AF4" s="52"/>
      <c r="AG4" s="52"/>
      <c r="AH4" s="52"/>
      <c r="AI4" s="52"/>
      <c r="AJ4" s="53"/>
      <c r="AK4" s="53"/>
      <c r="AL4" s="54"/>
      <c r="AM4" s="53"/>
      <c r="AN4" s="53"/>
      <c r="AO4" s="53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5"/>
      <c r="BE4" s="55"/>
      <c r="BF4" s="55"/>
      <c r="BG4" s="56">
        <f t="shared" ref="BG4:BG337" si="5">COUNTIF(E4:BC4,"P")+COUNTIF(E4:BC4,"A")+COUNTIF(E4:BC4,"D")</f>
        <v>0</v>
      </c>
      <c r="BH4" s="42">
        <f t="shared" ref="BH4:BH337" si="6">COUNTIF(E4:BF4,$BH$3)</f>
        <v>0</v>
      </c>
      <c r="BI4" s="43" t="str">
        <f t="shared" ref="BI4:BI337" si="7">BH4/BG4</f>
        <v>#DIV/0!</v>
      </c>
      <c r="BJ4" s="44">
        <f t="shared" ref="BJ4:BJ337" si="8">COUNTIF(E4:BF4,$BJ$3)</f>
        <v>0</v>
      </c>
      <c r="BK4" s="42">
        <f t="shared" ref="BK4:BK337" si="9">COUNTIF(E4:BF4,$BK$3)</f>
        <v>0</v>
      </c>
      <c r="BL4" s="42"/>
      <c r="BM4" s="42"/>
      <c r="BN4" s="45"/>
      <c r="BO4" s="46"/>
    </row>
    <row r="5">
      <c r="A5" s="14">
        <f t="shared" si="2"/>
        <v>2</v>
      </c>
      <c r="B5" s="47">
        <f t="shared" si="3"/>
        <v>45809</v>
      </c>
      <c r="C5" s="48">
        <v>45810.0</v>
      </c>
      <c r="D5" s="57">
        <f t="shared" si="4"/>
        <v>45810</v>
      </c>
      <c r="E5" s="58" t="s">
        <v>122</v>
      </c>
      <c r="F5" s="58" t="s">
        <v>122</v>
      </c>
      <c r="G5" s="58" t="s">
        <v>122</v>
      </c>
      <c r="H5" s="58" t="s">
        <v>122</v>
      </c>
      <c r="I5" s="58" t="s">
        <v>122</v>
      </c>
      <c r="J5" s="58" t="s">
        <v>122</v>
      </c>
      <c r="K5" s="58" t="s">
        <v>122</v>
      </c>
      <c r="L5" s="58" t="s">
        <v>122</v>
      </c>
      <c r="M5" s="58" t="s">
        <v>122</v>
      </c>
      <c r="N5" s="58" t="s">
        <v>122</v>
      </c>
      <c r="O5" s="58" t="s">
        <v>122</v>
      </c>
      <c r="P5" s="58" t="s">
        <v>122</v>
      </c>
      <c r="Q5" s="58" t="s">
        <v>122</v>
      </c>
      <c r="R5" s="58" t="s">
        <v>122</v>
      </c>
      <c r="S5" s="58" t="s">
        <v>122</v>
      </c>
      <c r="T5" s="58" t="s">
        <v>122</v>
      </c>
      <c r="U5" s="58" t="s">
        <v>122</v>
      </c>
      <c r="V5" s="58" t="s">
        <v>122</v>
      </c>
      <c r="W5" s="58" t="s">
        <v>122</v>
      </c>
      <c r="X5" s="58" t="s">
        <v>122</v>
      </c>
      <c r="Y5" s="58" t="s">
        <v>122</v>
      </c>
      <c r="Z5" s="58" t="s">
        <v>122</v>
      </c>
      <c r="AA5" s="58" t="s">
        <v>122</v>
      </c>
      <c r="AB5" s="58" t="s">
        <v>122</v>
      </c>
      <c r="AC5" s="58" t="s">
        <v>122</v>
      </c>
      <c r="AD5" s="58" t="s">
        <v>122</v>
      </c>
      <c r="AE5" s="59"/>
      <c r="AF5" s="59"/>
      <c r="AG5" s="59"/>
      <c r="AH5" s="59"/>
      <c r="AI5" s="59"/>
      <c r="AJ5" s="60"/>
      <c r="AK5" s="60"/>
      <c r="AL5" s="60"/>
      <c r="AM5" s="60"/>
      <c r="AN5" s="60"/>
      <c r="AO5" s="60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39"/>
      <c r="BE5" s="39"/>
      <c r="BF5" s="39"/>
      <c r="BG5" s="56">
        <f t="shared" si="5"/>
        <v>0</v>
      </c>
      <c r="BH5" s="42">
        <f t="shared" si="6"/>
        <v>0</v>
      </c>
      <c r="BI5" s="43" t="str">
        <f t="shared" si="7"/>
        <v>#DIV/0!</v>
      </c>
      <c r="BJ5" s="44">
        <f t="shared" si="8"/>
        <v>0</v>
      </c>
      <c r="BK5" s="42">
        <f t="shared" si="9"/>
        <v>0</v>
      </c>
      <c r="BL5" s="42"/>
      <c r="BM5" s="42"/>
      <c r="BN5" s="45"/>
      <c r="BO5" s="46"/>
    </row>
    <row r="6">
      <c r="A6" s="14">
        <f t="shared" si="2"/>
        <v>3</v>
      </c>
      <c r="B6" s="47">
        <f t="shared" si="3"/>
        <v>45809</v>
      </c>
      <c r="C6" s="48">
        <v>45811.0</v>
      </c>
      <c r="D6" s="57">
        <f t="shared" si="4"/>
        <v>45811</v>
      </c>
      <c r="E6" s="58" t="s">
        <v>121</v>
      </c>
      <c r="F6" s="59" t="s">
        <v>121</v>
      </c>
      <c r="G6" s="59" t="s">
        <v>120</v>
      </c>
      <c r="H6" s="58" t="s">
        <v>120</v>
      </c>
      <c r="I6" s="58" t="s">
        <v>120</v>
      </c>
      <c r="J6" s="58" t="s">
        <v>120</v>
      </c>
      <c r="K6" s="58" t="s">
        <v>120</v>
      </c>
      <c r="L6" s="58" t="s">
        <v>120</v>
      </c>
      <c r="M6" s="58" t="s">
        <v>120</v>
      </c>
      <c r="N6" s="58" t="s">
        <v>121</v>
      </c>
      <c r="O6" s="58" t="s">
        <v>121</v>
      </c>
      <c r="P6" s="58" t="s">
        <v>120</v>
      </c>
      <c r="Q6" s="58" t="s">
        <v>121</v>
      </c>
      <c r="R6" s="58" t="s">
        <v>120</v>
      </c>
      <c r="S6" s="58" t="s">
        <v>121</v>
      </c>
      <c r="T6" s="58"/>
      <c r="U6" s="58" t="s">
        <v>121</v>
      </c>
      <c r="V6" s="58"/>
      <c r="W6" s="58" t="s">
        <v>121</v>
      </c>
      <c r="X6" s="58"/>
      <c r="Y6" s="58"/>
      <c r="Z6" s="58" t="s">
        <v>121</v>
      </c>
      <c r="AA6" s="58"/>
      <c r="AB6" s="58"/>
      <c r="AC6" s="59"/>
      <c r="AD6" s="59"/>
      <c r="AE6" s="59"/>
      <c r="AF6" s="59"/>
      <c r="AG6" s="59"/>
      <c r="AH6" s="59"/>
      <c r="AI6" s="59"/>
      <c r="AJ6" s="60"/>
      <c r="AK6" s="60"/>
      <c r="AL6" s="60"/>
      <c r="AM6" s="60"/>
      <c r="AN6" s="60"/>
      <c r="AO6" s="60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39"/>
      <c r="BE6" s="39"/>
      <c r="BF6" s="39"/>
      <c r="BG6" s="56">
        <f t="shared" si="5"/>
        <v>18</v>
      </c>
      <c r="BH6" s="42">
        <f t="shared" si="6"/>
        <v>9</v>
      </c>
      <c r="BI6" s="43">
        <f t="shared" si="7"/>
        <v>0.5</v>
      </c>
      <c r="BJ6" s="44">
        <f t="shared" si="8"/>
        <v>9</v>
      </c>
      <c r="BK6" s="42">
        <f t="shared" si="9"/>
        <v>0</v>
      </c>
      <c r="BL6" s="42"/>
      <c r="BM6" s="42"/>
      <c r="BN6" s="45"/>
      <c r="BO6" s="46"/>
    </row>
    <row r="7">
      <c r="A7" s="14">
        <f t="shared" si="2"/>
        <v>4</v>
      </c>
      <c r="B7" s="47">
        <f t="shared" si="3"/>
        <v>45809</v>
      </c>
      <c r="C7" s="48">
        <v>45812.0</v>
      </c>
      <c r="D7" s="57">
        <f t="shared" si="4"/>
        <v>45812</v>
      </c>
      <c r="E7" s="58" t="s">
        <v>121</v>
      </c>
      <c r="F7" s="58" t="s">
        <v>120</v>
      </c>
      <c r="G7" s="59" t="s">
        <v>120</v>
      </c>
      <c r="H7" s="59" t="s">
        <v>120</v>
      </c>
      <c r="I7" s="59" t="s">
        <v>120</v>
      </c>
      <c r="J7" s="58" t="s">
        <v>120</v>
      </c>
      <c r="K7" s="58" t="s">
        <v>120</v>
      </c>
      <c r="L7" s="58" t="s">
        <v>120</v>
      </c>
      <c r="M7" s="58" t="s">
        <v>120</v>
      </c>
      <c r="N7" s="58" t="s">
        <v>121</v>
      </c>
      <c r="O7" s="58" t="s">
        <v>121</v>
      </c>
      <c r="P7" s="58" t="s">
        <v>120</v>
      </c>
      <c r="Q7" s="58" t="s">
        <v>120</v>
      </c>
      <c r="R7" s="58" t="s">
        <v>120</v>
      </c>
      <c r="S7" s="58" t="s">
        <v>120</v>
      </c>
      <c r="T7" s="58"/>
      <c r="U7" s="58" t="s">
        <v>120</v>
      </c>
      <c r="V7" s="58"/>
      <c r="W7" s="58" t="s">
        <v>120</v>
      </c>
      <c r="X7" s="58"/>
      <c r="Y7" s="58"/>
      <c r="Z7" s="58" t="s">
        <v>121</v>
      </c>
      <c r="AA7" s="58"/>
      <c r="AB7" s="58"/>
      <c r="AC7" s="59"/>
      <c r="AD7" s="59"/>
      <c r="AE7" s="59"/>
      <c r="AF7" s="59"/>
      <c r="AG7" s="59"/>
      <c r="AH7" s="58"/>
      <c r="AI7" s="58"/>
      <c r="AJ7" s="61"/>
      <c r="AK7" s="61"/>
      <c r="AL7" s="61"/>
      <c r="AM7" s="61"/>
      <c r="AN7" s="61"/>
      <c r="AO7" s="61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62"/>
      <c r="BE7" s="62"/>
      <c r="BF7" s="62"/>
      <c r="BG7" s="56">
        <f t="shared" si="5"/>
        <v>18</v>
      </c>
      <c r="BH7" s="42">
        <f t="shared" si="6"/>
        <v>14</v>
      </c>
      <c r="BI7" s="43">
        <f t="shared" si="7"/>
        <v>0.7777777778</v>
      </c>
      <c r="BJ7" s="44">
        <f t="shared" si="8"/>
        <v>4</v>
      </c>
      <c r="BK7" s="42">
        <f t="shared" si="9"/>
        <v>0</v>
      </c>
      <c r="BL7" s="63"/>
      <c r="BM7" s="28"/>
      <c r="BN7" s="28"/>
      <c r="BO7" s="28"/>
    </row>
    <row r="8">
      <c r="A8" s="14">
        <f t="shared" si="2"/>
        <v>5</v>
      </c>
      <c r="B8" s="47">
        <f t="shared" si="3"/>
        <v>45809</v>
      </c>
      <c r="C8" s="48">
        <v>45813.0</v>
      </c>
      <c r="D8" s="57">
        <f t="shared" si="4"/>
        <v>45813</v>
      </c>
      <c r="E8" s="58" t="s">
        <v>121</v>
      </c>
      <c r="F8" s="58" t="s">
        <v>120</v>
      </c>
      <c r="G8" s="59" t="s">
        <v>120</v>
      </c>
      <c r="H8" s="59" t="s">
        <v>120</v>
      </c>
      <c r="I8" s="59" t="s">
        <v>120</v>
      </c>
      <c r="J8" s="58" t="s">
        <v>120</v>
      </c>
      <c r="K8" s="58" t="s">
        <v>120</v>
      </c>
      <c r="L8" s="58" t="s">
        <v>121</v>
      </c>
      <c r="M8" s="58" t="s">
        <v>120</v>
      </c>
      <c r="N8" s="58" t="s">
        <v>121</v>
      </c>
      <c r="O8" s="58" t="s">
        <v>121</v>
      </c>
      <c r="P8" s="58" t="s">
        <v>120</v>
      </c>
      <c r="Q8" s="58" t="s">
        <v>121</v>
      </c>
      <c r="R8" s="58" t="s">
        <v>120</v>
      </c>
      <c r="S8" s="58" t="s">
        <v>120</v>
      </c>
      <c r="T8" s="58"/>
      <c r="U8" s="58" t="s">
        <v>120</v>
      </c>
      <c r="V8" s="58"/>
      <c r="W8" s="58" t="s">
        <v>120</v>
      </c>
      <c r="X8" s="58"/>
      <c r="Y8" s="58"/>
      <c r="Z8" s="58" t="s">
        <v>120</v>
      </c>
      <c r="AA8" s="58"/>
      <c r="AB8" s="58"/>
      <c r="AC8" s="58"/>
      <c r="AD8" s="58"/>
      <c r="AE8" s="58"/>
      <c r="AF8" s="58"/>
      <c r="AG8" s="58"/>
      <c r="AH8" s="58"/>
      <c r="AI8" s="58"/>
      <c r="AJ8" s="61"/>
      <c r="AK8" s="61"/>
      <c r="AL8" s="61"/>
      <c r="AM8" s="61"/>
      <c r="AN8" s="61"/>
      <c r="AO8" s="61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62"/>
      <c r="BE8" s="62"/>
      <c r="BF8" s="62"/>
      <c r="BG8" s="56">
        <f t="shared" si="5"/>
        <v>18</v>
      </c>
      <c r="BH8" s="42">
        <f t="shared" si="6"/>
        <v>13</v>
      </c>
      <c r="BI8" s="43">
        <f t="shared" si="7"/>
        <v>0.7222222222</v>
      </c>
      <c r="BJ8" s="44">
        <f t="shared" si="8"/>
        <v>5</v>
      </c>
      <c r="BK8" s="42">
        <f t="shared" si="9"/>
        <v>0</v>
      </c>
      <c r="BL8" s="63"/>
      <c r="BM8" s="28"/>
      <c r="BN8" s="28"/>
      <c r="BO8" s="28"/>
    </row>
    <row r="9">
      <c r="A9" s="14">
        <f t="shared" si="2"/>
        <v>6</v>
      </c>
      <c r="B9" s="47">
        <f t="shared" si="3"/>
        <v>45809</v>
      </c>
      <c r="C9" s="48">
        <v>45814.0</v>
      </c>
      <c r="D9" s="57">
        <f t="shared" si="4"/>
        <v>45814</v>
      </c>
      <c r="E9" s="58" t="s">
        <v>121</v>
      </c>
      <c r="F9" s="58" t="s">
        <v>121</v>
      </c>
      <c r="G9" s="59" t="s">
        <v>120</v>
      </c>
      <c r="H9" s="59" t="s">
        <v>121</v>
      </c>
      <c r="I9" s="59" t="s">
        <v>120</v>
      </c>
      <c r="J9" s="58" t="s">
        <v>120</v>
      </c>
      <c r="K9" s="58" t="s">
        <v>120</v>
      </c>
      <c r="L9" s="58" t="s">
        <v>120</v>
      </c>
      <c r="M9" s="58" t="s">
        <v>120</v>
      </c>
      <c r="N9" s="58" t="s">
        <v>121</v>
      </c>
      <c r="O9" s="58" t="s">
        <v>121</v>
      </c>
      <c r="P9" s="58" t="s">
        <v>120</v>
      </c>
      <c r="Q9" s="58" t="s">
        <v>120</v>
      </c>
      <c r="R9" s="58" t="s">
        <v>120</v>
      </c>
      <c r="S9" s="58" t="s">
        <v>121</v>
      </c>
      <c r="T9" s="58"/>
      <c r="U9" s="58" t="s">
        <v>121</v>
      </c>
      <c r="V9" s="58"/>
      <c r="W9" s="58" t="s">
        <v>120</v>
      </c>
      <c r="X9" s="58"/>
      <c r="Y9" s="58"/>
      <c r="Z9" s="58" t="s">
        <v>121</v>
      </c>
      <c r="AA9" s="58"/>
      <c r="AB9" s="58"/>
      <c r="AC9" s="58"/>
      <c r="AD9" s="58"/>
      <c r="AE9" s="58"/>
      <c r="AF9" s="58"/>
      <c r="AG9" s="58"/>
      <c r="AH9" s="58"/>
      <c r="AI9" s="58"/>
      <c r="AJ9" s="61"/>
      <c r="AK9" s="61"/>
      <c r="AL9" s="61"/>
      <c r="AM9" s="61"/>
      <c r="AN9" s="61"/>
      <c r="AO9" s="61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62"/>
      <c r="BE9" s="62"/>
      <c r="BF9" s="62"/>
      <c r="BG9" s="56">
        <f t="shared" si="5"/>
        <v>18</v>
      </c>
      <c r="BH9" s="42">
        <f t="shared" si="6"/>
        <v>10</v>
      </c>
      <c r="BI9" s="43">
        <f t="shared" si="7"/>
        <v>0.5555555556</v>
      </c>
      <c r="BJ9" s="44">
        <f t="shared" si="8"/>
        <v>8</v>
      </c>
      <c r="BK9" s="42">
        <f t="shared" si="9"/>
        <v>0</v>
      </c>
      <c r="BL9" s="63"/>
      <c r="BM9" s="28"/>
      <c r="BN9" s="28"/>
      <c r="BO9" s="28"/>
    </row>
    <row r="10">
      <c r="A10" s="14">
        <f t="shared" si="2"/>
        <v>7</v>
      </c>
      <c r="B10" s="47">
        <f t="shared" si="3"/>
        <v>45809</v>
      </c>
      <c r="C10" s="48">
        <v>45815.0</v>
      </c>
      <c r="D10" s="57">
        <f t="shared" si="4"/>
        <v>45815</v>
      </c>
      <c r="E10" s="58" t="s">
        <v>122</v>
      </c>
      <c r="F10" s="58" t="s">
        <v>122</v>
      </c>
      <c r="G10" s="58" t="s">
        <v>122</v>
      </c>
      <c r="H10" s="58" t="s">
        <v>122</v>
      </c>
      <c r="I10" s="58" t="s">
        <v>122</v>
      </c>
      <c r="J10" s="58" t="s">
        <v>122</v>
      </c>
      <c r="K10" s="58" t="s">
        <v>122</v>
      </c>
      <c r="L10" s="58" t="s">
        <v>122</v>
      </c>
      <c r="M10" s="58" t="s">
        <v>122</v>
      </c>
      <c r="N10" s="58" t="s">
        <v>122</v>
      </c>
      <c r="O10" s="58" t="s">
        <v>122</v>
      </c>
      <c r="P10" s="58" t="s">
        <v>122</v>
      </c>
      <c r="Q10" s="58" t="s">
        <v>122</v>
      </c>
      <c r="R10" s="58" t="s">
        <v>122</v>
      </c>
      <c r="S10" s="58" t="s">
        <v>122</v>
      </c>
      <c r="T10" s="58" t="s">
        <v>122</v>
      </c>
      <c r="U10" s="58" t="s">
        <v>122</v>
      </c>
      <c r="V10" s="58" t="s">
        <v>122</v>
      </c>
      <c r="W10" s="58" t="s">
        <v>122</v>
      </c>
      <c r="X10" s="58" t="s">
        <v>122</v>
      </c>
      <c r="Y10" s="58" t="s">
        <v>122</v>
      </c>
      <c r="Z10" s="58" t="s">
        <v>122</v>
      </c>
      <c r="AA10" s="58" t="s">
        <v>122</v>
      </c>
      <c r="AB10" s="58" t="s">
        <v>122</v>
      </c>
      <c r="AC10" s="58" t="s">
        <v>122</v>
      </c>
      <c r="AD10" s="58" t="s">
        <v>122</v>
      </c>
      <c r="AE10" s="58"/>
      <c r="AF10" s="58"/>
      <c r="AG10" s="58"/>
      <c r="AH10" s="58"/>
      <c r="AI10" s="58"/>
      <c r="AJ10" s="61"/>
      <c r="AK10" s="61"/>
      <c r="AL10" s="61"/>
      <c r="AM10" s="61"/>
      <c r="AN10" s="61"/>
      <c r="AO10" s="61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62"/>
      <c r="BE10" s="62"/>
      <c r="BF10" s="62"/>
      <c r="BG10" s="56">
        <f t="shared" si="5"/>
        <v>0</v>
      </c>
      <c r="BH10" s="42">
        <f t="shared" si="6"/>
        <v>0</v>
      </c>
      <c r="BI10" s="43" t="str">
        <f t="shared" si="7"/>
        <v>#DIV/0!</v>
      </c>
      <c r="BJ10" s="44">
        <f t="shared" si="8"/>
        <v>0</v>
      </c>
      <c r="BK10" s="42">
        <f t="shared" si="9"/>
        <v>0</v>
      </c>
      <c r="BL10" s="63"/>
      <c r="BM10" s="28"/>
      <c r="BN10" s="28"/>
      <c r="BO10" s="28"/>
    </row>
    <row r="11">
      <c r="A11" s="14">
        <f t="shared" si="2"/>
        <v>8</v>
      </c>
      <c r="B11" s="47">
        <f t="shared" si="3"/>
        <v>45809</v>
      </c>
      <c r="C11" s="48">
        <v>45816.0</v>
      </c>
      <c r="D11" s="49">
        <f t="shared" si="4"/>
        <v>45816</v>
      </c>
      <c r="E11" s="50"/>
      <c r="F11" s="50"/>
      <c r="G11" s="52"/>
      <c r="H11" s="52"/>
      <c r="I11" s="52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64"/>
      <c r="AK11" s="64"/>
      <c r="AL11" s="64"/>
      <c r="AM11" s="64"/>
      <c r="AN11" s="64"/>
      <c r="AO11" s="64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64"/>
      <c r="BE11" s="64"/>
      <c r="BF11" s="64"/>
      <c r="BG11" s="56">
        <f t="shared" si="5"/>
        <v>0</v>
      </c>
      <c r="BH11" s="42">
        <f t="shared" si="6"/>
        <v>0</v>
      </c>
      <c r="BI11" s="43" t="str">
        <f t="shared" si="7"/>
        <v>#DIV/0!</v>
      </c>
      <c r="BJ11" s="44">
        <f t="shared" si="8"/>
        <v>0</v>
      </c>
      <c r="BK11" s="42">
        <f t="shared" si="9"/>
        <v>0</v>
      </c>
      <c r="BL11" s="63"/>
      <c r="BM11" s="28"/>
      <c r="BN11" s="28"/>
      <c r="BO11" s="28"/>
    </row>
    <row r="12">
      <c r="A12" s="14">
        <f t="shared" si="2"/>
        <v>9</v>
      </c>
      <c r="B12" s="47">
        <f t="shared" si="3"/>
        <v>45809</v>
      </c>
      <c r="C12" s="48">
        <v>45817.0</v>
      </c>
      <c r="D12" s="57">
        <f t="shared" si="4"/>
        <v>45817</v>
      </c>
      <c r="E12" s="58" t="s">
        <v>121</v>
      </c>
      <c r="F12" s="58" t="s">
        <v>121</v>
      </c>
      <c r="G12" s="59" t="s">
        <v>120</v>
      </c>
      <c r="H12" s="59" t="s">
        <v>121</v>
      </c>
      <c r="I12" s="59" t="s">
        <v>120</v>
      </c>
      <c r="J12" s="58" t="s">
        <v>120</v>
      </c>
      <c r="K12" s="58" t="s">
        <v>120</v>
      </c>
      <c r="L12" s="58" t="s">
        <v>120</v>
      </c>
      <c r="M12" s="58" t="s">
        <v>120</v>
      </c>
      <c r="N12" s="58" t="s">
        <v>121</v>
      </c>
      <c r="O12" s="58" t="s">
        <v>121</v>
      </c>
      <c r="P12" s="58" t="s">
        <v>120</v>
      </c>
      <c r="Q12" s="58" t="s">
        <v>121</v>
      </c>
      <c r="R12" s="58" t="s">
        <v>121</v>
      </c>
      <c r="S12" s="58" t="s">
        <v>121</v>
      </c>
      <c r="T12" s="58"/>
      <c r="U12" s="58" t="s">
        <v>121</v>
      </c>
      <c r="V12" s="58"/>
      <c r="W12" s="58" t="s">
        <v>121</v>
      </c>
      <c r="X12" s="58"/>
      <c r="Y12" s="58"/>
      <c r="Z12" s="58" t="s">
        <v>121</v>
      </c>
      <c r="AA12" s="58"/>
      <c r="AB12" s="58"/>
      <c r="AC12" s="58"/>
      <c r="AD12" s="58"/>
      <c r="AE12" s="58"/>
      <c r="AF12" s="58"/>
      <c r="AG12" s="58"/>
      <c r="AH12" s="58"/>
      <c r="AI12" s="58"/>
      <c r="AJ12" s="61"/>
      <c r="AK12" s="61"/>
      <c r="AL12" s="61"/>
      <c r="AM12" s="61"/>
      <c r="AN12" s="61"/>
      <c r="AO12" s="61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62"/>
      <c r="BE12" s="62"/>
      <c r="BF12" s="62"/>
      <c r="BG12" s="56">
        <f t="shared" si="5"/>
        <v>18</v>
      </c>
      <c r="BH12" s="42">
        <f t="shared" si="6"/>
        <v>7</v>
      </c>
      <c r="BI12" s="43">
        <f t="shared" si="7"/>
        <v>0.3888888889</v>
      </c>
      <c r="BJ12" s="44">
        <f t="shared" si="8"/>
        <v>11</v>
      </c>
      <c r="BK12" s="42">
        <f t="shared" si="9"/>
        <v>0</v>
      </c>
      <c r="BL12" s="63"/>
      <c r="BM12" s="28"/>
      <c r="BN12" s="28"/>
      <c r="BO12" s="28"/>
    </row>
    <row r="13">
      <c r="A13" s="14">
        <f t="shared" si="2"/>
        <v>10</v>
      </c>
      <c r="B13" s="47">
        <f t="shared" si="3"/>
        <v>45809</v>
      </c>
      <c r="C13" s="48">
        <v>45818.0</v>
      </c>
      <c r="D13" s="57">
        <f t="shared" si="4"/>
        <v>45818</v>
      </c>
      <c r="E13" s="58" t="s">
        <v>121</v>
      </c>
      <c r="F13" s="58" t="s">
        <v>120</v>
      </c>
      <c r="G13" s="59" t="s">
        <v>120</v>
      </c>
      <c r="H13" s="59" t="s">
        <v>120</v>
      </c>
      <c r="I13" s="59" t="s">
        <v>120</v>
      </c>
      <c r="J13" s="58" t="s">
        <v>120</v>
      </c>
      <c r="K13" s="58" t="s">
        <v>120</v>
      </c>
      <c r="L13" s="58" t="s">
        <v>120</v>
      </c>
      <c r="M13" s="58" t="s">
        <v>120</v>
      </c>
      <c r="N13" s="58" t="s">
        <v>121</v>
      </c>
      <c r="O13" s="58" t="s">
        <v>121</v>
      </c>
      <c r="P13" s="58" t="s">
        <v>120</v>
      </c>
      <c r="Q13" s="58" t="s">
        <v>121</v>
      </c>
      <c r="R13" s="58" t="s">
        <v>120</v>
      </c>
      <c r="S13" s="58" t="s">
        <v>120</v>
      </c>
      <c r="T13" s="58"/>
      <c r="U13" s="58" t="s">
        <v>120</v>
      </c>
      <c r="V13" s="58"/>
      <c r="W13" s="58" t="s">
        <v>121</v>
      </c>
      <c r="X13" s="58"/>
      <c r="Y13" s="58"/>
      <c r="Z13" s="58" t="s">
        <v>120</v>
      </c>
      <c r="AA13" s="58"/>
      <c r="AB13" s="58"/>
      <c r="AC13" s="58"/>
      <c r="AD13" s="58"/>
      <c r="AE13" s="58"/>
      <c r="AF13" s="58"/>
      <c r="AG13" s="58"/>
      <c r="AH13" s="58"/>
      <c r="AI13" s="58"/>
      <c r="AJ13" s="61"/>
      <c r="AK13" s="61"/>
      <c r="AL13" s="61"/>
      <c r="AM13" s="61"/>
      <c r="AN13" s="61"/>
      <c r="AO13" s="61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62"/>
      <c r="BE13" s="62"/>
      <c r="BF13" s="62"/>
      <c r="BG13" s="56">
        <f t="shared" si="5"/>
        <v>18</v>
      </c>
      <c r="BH13" s="42">
        <f t="shared" si="6"/>
        <v>13</v>
      </c>
      <c r="BI13" s="43">
        <f t="shared" si="7"/>
        <v>0.7222222222</v>
      </c>
      <c r="BJ13" s="44">
        <f t="shared" si="8"/>
        <v>5</v>
      </c>
      <c r="BK13" s="42">
        <f t="shared" si="9"/>
        <v>0</v>
      </c>
      <c r="BL13" s="63"/>
      <c r="BM13" s="28"/>
      <c r="BN13" s="28"/>
      <c r="BO13" s="28"/>
    </row>
    <row r="14">
      <c r="A14" s="14">
        <f t="shared" si="2"/>
        <v>11</v>
      </c>
      <c r="B14" s="47">
        <f t="shared" si="3"/>
        <v>45809</v>
      </c>
      <c r="C14" s="48">
        <v>45819.0</v>
      </c>
      <c r="D14" s="57">
        <f t="shared" si="4"/>
        <v>45819</v>
      </c>
      <c r="E14" s="58" t="s">
        <v>121</v>
      </c>
      <c r="F14" s="58" t="s">
        <v>120</v>
      </c>
      <c r="G14" s="59" t="s">
        <v>120</v>
      </c>
      <c r="H14" s="59" t="s">
        <v>120</v>
      </c>
      <c r="I14" s="59" t="s">
        <v>120</v>
      </c>
      <c r="J14" s="58" t="s">
        <v>120</v>
      </c>
      <c r="K14" s="58" t="s">
        <v>120</v>
      </c>
      <c r="L14" s="58" t="s">
        <v>120</v>
      </c>
      <c r="M14" s="58" t="s">
        <v>120</v>
      </c>
      <c r="N14" s="58" t="s">
        <v>121</v>
      </c>
      <c r="O14" s="58" t="s">
        <v>121</v>
      </c>
      <c r="P14" s="58" t="s">
        <v>120</v>
      </c>
      <c r="Q14" s="58" t="s">
        <v>120</v>
      </c>
      <c r="R14" s="58" t="s">
        <v>120</v>
      </c>
      <c r="S14" s="58" t="s">
        <v>120</v>
      </c>
      <c r="T14" s="58"/>
      <c r="U14" s="58" t="s">
        <v>120</v>
      </c>
      <c r="V14" s="58"/>
      <c r="W14" s="58" t="s">
        <v>120</v>
      </c>
      <c r="X14" s="58"/>
      <c r="Y14" s="58"/>
      <c r="Z14" s="58" t="s">
        <v>120</v>
      </c>
      <c r="AA14" s="58"/>
      <c r="AB14" s="58"/>
      <c r="AC14" s="58"/>
      <c r="AD14" s="58"/>
      <c r="AE14" s="58"/>
      <c r="AF14" s="58"/>
      <c r="AG14" s="58"/>
      <c r="AH14" s="58"/>
      <c r="AI14" s="58"/>
      <c r="AJ14" s="61"/>
      <c r="AK14" s="61"/>
      <c r="AL14" s="61"/>
      <c r="AM14" s="61"/>
      <c r="AN14" s="61"/>
      <c r="AO14" s="61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62"/>
      <c r="BE14" s="62"/>
      <c r="BF14" s="62"/>
      <c r="BG14" s="56">
        <f t="shared" si="5"/>
        <v>18</v>
      </c>
      <c r="BH14" s="42">
        <f t="shared" si="6"/>
        <v>15</v>
      </c>
      <c r="BI14" s="43">
        <f t="shared" si="7"/>
        <v>0.8333333333</v>
      </c>
      <c r="BJ14" s="44">
        <f t="shared" si="8"/>
        <v>3</v>
      </c>
      <c r="BK14" s="42">
        <f t="shared" si="9"/>
        <v>0</v>
      </c>
      <c r="BL14" s="63"/>
      <c r="BM14" s="28"/>
      <c r="BN14" s="28"/>
      <c r="BO14" s="28"/>
    </row>
    <row r="15">
      <c r="A15" s="14">
        <f t="shared" si="2"/>
        <v>12</v>
      </c>
      <c r="B15" s="47">
        <f t="shared" si="3"/>
        <v>45809</v>
      </c>
      <c r="C15" s="48">
        <v>45820.0</v>
      </c>
      <c r="D15" s="57">
        <f t="shared" si="4"/>
        <v>45820</v>
      </c>
      <c r="E15" s="58" t="s">
        <v>121</v>
      </c>
      <c r="F15" s="58" t="s">
        <v>120</v>
      </c>
      <c r="G15" s="59" t="s">
        <v>120</v>
      </c>
      <c r="H15" s="59" t="s">
        <v>120</v>
      </c>
      <c r="I15" s="59" t="s">
        <v>120</v>
      </c>
      <c r="J15" s="58" t="s">
        <v>120</v>
      </c>
      <c r="K15" s="58" t="s">
        <v>120</v>
      </c>
      <c r="L15" s="58" t="s">
        <v>120</v>
      </c>
      <c r="M15" s="58" t="s">
        <v>120</v>
      </c>
      <c r="N15" s="58" t="s">
        <v>121</v>
      </c>
      <c r="O15" s="58" t="s">
        <v>121</v>
      </c>
      <c r="P15" s="58" t="s">
        <v>120</v>
      </c>
      <c r="Q15" s="58" t="s">
        <v>120</v>
      </c>
      <c r="R15" s="58" t="s">
        <v>120</v>
      </c>
      <c r="S15" s="58" t="s">
        <v>120</v>
      </c>
      <c r="T15" s="58"/>
      <c r="U15" s="58" t="s">
        <v>120</v>
      </c>
      <c r="V15" s="58"/>
      <c r="W15" s="58" t="s">
        <v>120</v>
      </c>
      <c r="X15" s="58"/>
      <c r="Y15" s="58"/>
      <c r="Z15" s="58" t="s">
        <v>120</v>
      </c>
      <c r="AA15" s="58"/>
      <c r="AB15" s="58"/>
      <c r="AC15" s="58"/>
      <c r="AD15" s="58"/>
      <c r="AE15" s="58"/>
      <c r="AF15" s="58"/>
      <c r="AG15" s="58"/>
      <c r="AH15" s="58"/>
      <c r="AI15" s="58"/>
      <c r="AJ15" s="61"/>
      <c r="AK15" s="61"/>
      <c r="AL15" s="61"/>
      <c r="AM15" s="61"/>
      <c r="AN15" s="61"/>
      <c r="AO15" s="61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62"/>
      <c r="BE15" s="62"/>
      <c r="BF15" s="62"/>
      <c r="BG15" s="56">
        <f t="shared" si="5"/>
        <v>18</v>
      </c>
      <c r="BH15" s="42">
        <f t="shared" si="6"/>
        <v>15</v>
      </c>
      <c r="BI15" s="43">
        <f t="shared" si="7"/>
        <v>0.8333333333</v>
      </c>
      <c r="BJ15" s="44">
        <f t="shared" si="8"/>
        <v>3</v>
      </c>
      <c r="BK15" s="42">
        <f t="shared" si="9"/>
        <v>0</v>
      </c>
      <c r="BL15" s="63"/>
      <c r="BM15" s="28"/>
      <c r="BN15" s="28"/>
      <c r="BO15" s="28"/>
    </row>
    <row r="16">
      <c r="A16" s="14">
        <f t="shared" si="2"/>
        <v>13</v>
      </c>
      <c r="B16" s="47">
        <f t="shared" si="3"/>
        <v>45809</v>
      </c>
      <c r="C16" s="48">
        <v>45821.0</v>
      </c>
      <c r="D16" s="57">
        <f t="shared" si="4"/>
        <v>45821</v>
      </c>
      <c r="E16" s="58" t="s">
        <v>122</v>
      </c>
      <c r="F16" s="58" t="s">
        <v>122</v>
      </c>
      <c r="G16" s="58" t="s">
        <v>122</v>
      </c>
      <c r="H16" s="58" t="s">
        <v>122</v>
      </c>
      <c r="I16" s="58" t="s">
        <v>122</v>
      </c>
      <c r="J16" s="58" t="s">
        <v>122</v>
      </c>
      <c r="K16" s="58" t="s">
        <v>122</v>
      </c>
      <c r="L16" s="58" t="s">
        <v>122</v>
      </c>
      <c r="M16" s="58" t="s">
        <v>122</v>
      </c>
      <c r="N16" s="58" t="s">
        <v>122</v>
      </c>
      <c r="O16" s="58" t="s">
        <v>122</v>
      </c>
      <c r="P16" s="58" t="s">
        <v>122</v>
      </c>
      <c r="Q16" s="58" t="s">
        <v>122</v>
      </c>
      <c r="R16" s="58" t="s">
        <v>122</v>
      </c>
      <c r="S16" s="58" t="s">
        <v>122</v>
      </c>
      <c r="T16" s="58" t="s">
        <v>122</v>
      </c>
      <c r="U16" s="58" t="s">
        <v>122</v>
      </c>
      <c r="V16" s="58" t="s">
        <v>122</v>
      </c>
      <c r="W16" s="58" t="s">
        <v>122</v>
      </c>
      <c r="X16" s="58" t="s">
        <v>122</v>
      </c>
      <c r="Y16" s="58" t="s">
        <v>122</v>
      </c>
      <c r="Z16" s="58" t="s">
        <v>122</v>
      </c>
      <c r="AA16" s="58" t="s">
        <v>122</v>
      </c>
      <c r="AB16" s="58" t="s">
        <v>122</v>
      </c>
      <c r="AC16" s="58" t="s">
        <v>122</v>
      </c>
      <c r="AD16" s="58" t="s">
        <v>122</v>
      </c>
      <c r="AE16" s="58"/>
      <c r="AF16" s="58"/>
      <c r="AG16" s="58"/>
      <c r="AH16" s="58"/>
      <c r="AI16" s="58"/>
      <c r="AJ16" s="61"/>
      <c r="AK16" s="61"/>
      <c r="AL16" s="61"/>
      <c r="AM16" s="61"/>
      <c r="AN16" s="61"/>
      <c r="AO16" s="61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62"/>
      <c r="BE16" s="62"/>
      <c r="BF16" s="62"/>
      <c r="BG16" s="56">
        <f t="shared" si="5"/>
        <v>0</v>
      </c>
      <c r="BH16" s="42">
        <f t="shared" si="6"/>
        <v>0</v>
      </c>
      <c r="BI16" s="43" t="str">
        <f t="shared" si="7"/>
        <v>#DIV/0!</v>
      </c>
      <c r="BJ16" s="44">
        <f t="shared" si="8"/>
        <v>0</v>
      </c>
      <c r="BK16" s="42">
        <f t="shared" si="9"/>
        <v>0</v>
      </c>
      <c r="BL16" s="63"/>
      <c r="BM16" s="28"/>
      <c r="BN16" s="28"/>
      <c r="BO16" s="28"/>
    </row>
    <row r="17">
      <c r="A17" s="14">
        <f t="shared" si="2"/>
        <v>14</v>
      </c>
      <c r="B17" s="47">
        <f t="shared" si="3"/>
        <v>45809</v>
      </c>
      <c r="C17" s="48">
        <v>45822.0</v>
      </c>
      <c r="D17" s="57">
        <f t="shared" si="4"/>
        <v>45822</v>
      </c>
      <c r="E17" s="58" t="s">
        <v>122</v>
      </c>
      <c r="F17" s="58" t="s">
        <v>122</v>
      </c>
      <c r="G17" s="58" t="s">
        <v>122</v>
      </c>
      <c r="H17" s="58" t="s">
        <v>122</v>
      </c>
      <c r="I17" s="58" t="s">
        <v>122</v>
      </c>
      <c r="J17" s="58" t="s">
        <v>122</v>
      </c>
      <c r="K17" s="58" t="s">
        <v>122</v>
      </c>
      <c r="L17" s="58" t="s">
        <v>122</v>
      </c>
      <c r="M17" s="58" t="s">
        <v>122</v>
      </c>
      <c r="N17" s="58" t="s">
        <v>122</v>
      </c>
      <c r="O17" s="58" t="s">
        <v>122</v>
      </c>
      <c r="P17" s="58" t="s">
        <v>122</v>
      </c>
      <c r="Q17" s="58" t="s">
        <v>122</v>
      </c>
      <c r="R17" s="58" t="s">
        <v>122</v>
      </c>
      <c r="S17" s="58" t="s">
        <v>122</v>
      </c>
      <c r="T17" s="58" t="s">
        <v>122</v>
      </c>
      <c r="U17" s="58" t="s">
        <v>122</v>
      </c>
      <c r="V17" s="58" t="s">
        <v>122</v>
      </c>
      <c r="W17" s="58" t="s">
        <v>122</v>
      </c>
      <c r="X17" s="58" t="s">
        <v>122</v>
      </c>
      <c r="Y17" s="58" t="s">
        <v>122</v>
      </c>
      <c r="Z17" s="58" t="s">
        <v>122</v>
      </c>
      <c r="AA17" s="58" t="s">
        <v>122</v>
      </c>
      <c r="AB17" s="58" t="s">
        <v>122</v>
      </c>
      <c r="AC17" s="58" t="s">
        <v>122</v>
      </c>
      <c r="AD17" s="58" t="s">
        <v>122</v>
      </c>
      <c r="AE17" s="58"/>
      <c r="AF17" s="58"/>
      <c r="AG17" s="58"/>
      <c r="AH17" s="58"/>
      <c r="AI17" s="58"/>
      <c r="AJ17" s="61"/>
      <c r="AK17" s="61"/>
      <c r="AL17" s="61"/>
      <c r="AM17" s="61"/>
      <c r="AN17" s="61"/>
      <c r="AO17" s="61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62"/>
      <c r="BE17" s="62"/>
      <c r="BF17" s="62"/>
      <c r="BG17" s="56">
        <f t="shared" si="5"/>
        <v>0</v>
      </c>
      <c r="BH17" s="42">
        <f t="shared" si="6"/>
        <v>0</v>
      </c>
      <c r="BI17" s="43" t="str">
        <f t="shared" si="7"/>
        <v>#DIV/0!</v>
      </c>
      <c r="BJ17" s="44">
        <f t="shared" si="8"/>
        <v>0</v>
      </c>
      <c r="BK17" s="42">
        <f t="shared" si="9"/>
        <v>0</v>
      </c>
      <c r="BL17" s="63"/>
      <c r="BM17" s="28"/>
      <c r="BN17" s="28"/>
      <c r="BO17" s="28"/>
    </row>
    <row r="18">
      <c r="A18" s="14">
        <f t="shared" si="2"/>
        <v>15</v>
      </c>
      <c r="B18" s="47">
        <f t="shared" si="3"/>
        <v>45809</v>
      </c>
      <c r="C18" s="48">
        <v>45823.0</v>
      </c>
      <c r="D18" s="49">
        <f t="shared" si="4"/>
        <v>45823</v>
      </c>
      <c r="E18" s="50"/>
      <c r="F18" s="50"/>
      <c r="G18" s="52"/>
      <c r="H18" s="52"/>
      <c r="I18" s="52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64"/>
      <c r="AK18" s="64"/>
      <c r="AL18" s="64"/>
      <c r="AM18" s="64"/>
      <c r="AN18" s="64"/>
      <c r="AO18" s="64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64"/>
      <c r="BE18" s="64"/>
      <c r="BF18" s="64"/>
      <c r="BG18" s="56">
        <f t="shared" si="5"/>
        <v>0</v>
      </c>
      <c r="BH18" s="42">
        <f t="shared" si="6"/>
        <v>0</v>
      </c>
      <c r="BI18" s="43" t="str">
        <f t="shared" si="7"/>
        <v>#DIV/0!</v>
      </c>
      <c r="BJ18" s="44">
        <f t="shared" si="8"/>
        <v>0</v>
      </c>
      <c r="BK18" s="42">
        <f t="shared" si="9"/>
        <v>0</v>
      </c>
      <c r="BL18" s="63"/>
      <c r="BM18" s="28"/>
      <c r="BN18" s="28"/>
      <c r="BO18" s="28"/>
    </row>
    <row r="19">
      <c r="A19" s="14">
        <f t="shared" si="2"/>
        <v>16</v>
      </c>
      <c r="B19" s="47">
        <f t="shared" si="3"/>
        <v>45809</v>
      </c>
      <c r="C19" s="48">
        <v>45824.0</v>
      </c>
      <c r="D19" s="57">
        <f t="shared" si="4"/>
        <v>45824</v>
      </c>
      <c r="E19" s="58" t="s">
        <v>121</v>
      </c>
      <c r="F19" s="58" t="s">
        <v>120</v>
      </c>
      <c r="G19" s="59" t="s">
        <v>120</v>
      </c>
      <c r="H19" s="59" t="s">
        <v>120</v>
      </c>
      <c r="I19" s="59" t="s">
        <v>120</v>
      </c>
      <c r="J19" s="58" t="s">
        <v>120</v>
      </c>
      <c r="K19" s="58" t="s">
        <v>120</v>
      </c>
      <c r="L19" s="58" t="s">
        <v>120</v>
      </c>
      <c r="M19" s="58" t="s">
        <v>120</v>
      </c>
      <c r="N19" s="58" t="s">
        <v>121</v>
      </c>
      <c r="O19" s="58" t="s">
        <v>121</v>
      </c>
      <c r="P19" s="58" t="s">
        <v>120</v>
      </c>
      <c r="Q19" s="58" t="s">
        <v>120</v>
      </c>
      <c r="R19" s="58" t="s">
        <v>120</v>
      </c>
      <c r="S19" s="58" t="s">
        <v>121</v>
      </c>
      <c r="T19" s="58"/>
      <c r="U19" s="58" t="s">
        <v>121</v>
      </c>
      <c r="V19" s="58"/>
      <c r="W19" s="58" t="s">
        <v>120</v>
      </c>
      <c r="X19" s="58"/>
      <c r="Y19" s="58"/>
      <c r="Z19" s="58" t="s">
        <v>121</v>
      </c>
      <c r="AA19" s="58"/>
      <c r="AB19" s="58"/>
      <c r="AC19" s="58"/>
      <c r="AD19" s="58"/>
      <c r="AE19" s="58"/>
      <c r="AF19" s="58"/>
      <c r="AG19" s="58"/>
      <c r="AH19" s="58"/>
      <c r="AI19" s="58"/>
      <c r="AJ19" s="61"/>
      <c r="AK19" s="61"/>
      <c r="AL19" s="61"/>
      <c r="AM19" s="61"/>
      <c r="AN19" s="61"/>
      <c r="AO19" s="61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62"/>
      <c r="BE19" s="62"/>
      <c r="BF19" s="62"/>
      <c r="BG19" s="56">
        <f t="shared" si="5"/>
        <v>18</v>
      </c>
      <c r="BH19" s="42">
        <f t="shared" si="6"/>
        <v>12</v>
      </c>
      <c r="BI19" s="43">
        <f t="shared" si="7"/>
        <v>0.6666666667</v>
      </c>
      <c r="BJ19" s="44">
        <f t="shared" si="8"/>
        <v>6</v>
      </c>
      <c r="BK19" s="42">
        <f t="shared" si="9"/>
        <v>0</v>
      </c>
      <c r="BL19" s="63"/>
      <c r="BM19" s="28"/>
      <c r="BN19" s="28"/>
      <c r="BO19" s="28"/>
    </row>
    <row r="20">
      <c r="A20" s="14">
        <f t="shared" si="2"/>
        <v>17</v>
      </c>
      <c r="B20" s="47">
        <f t="shared" si="3"/>
        <v>45809</v>
      </c>
      <c r="C20" s="48">
        <v>45825.0</v>
      </c>
      <c r="D20" s="57">
        <f t="shared" si="4"/>
        <v>45825</v>
      </c>
      <c r="E20" s="58" t="s">
        <v>120</v>
      </c>
      <c r="F20" s="58" t="s">
        <v>120</v>
      </c>
      <c r="G20" s="59" t="s">
        <v>120</v>
      </c>
      <c r="H20" s="59" t="s">
        <v>120</v>
      </c>
      <c r="I20" s="59" t="s">
        <v>120</v>
      </c>
      <c r="J20" s="58" t="s">
        <v>120</v>
      </c>
      <c r="K20" s="58" t="s">
        <v>120</v>
      </c>
      <c r="L20" s="58" t="s">
        <v>120</v>
      </c>
      <c r="M20" s="58" t="s">
        <v>120</v>
      </c>
      <c r="N20" s="58" t="s">
        <v>121</v>
      </c>
      <c r="O20" s="58" t="s">
        <v>121</v>
      </c>
      <c r="P20" s="58" t="s">
        <v>120</v>
      </c>
      <c r="Q20" s="58" t="s">
        <v>120</v>
      </c>
      <c r="R20" s="58" t="s">
        <v>121</v>
      </c>
      <c r="S20" s="58" t="s">
        <v>120</v>
      </c>
      <c r="T20" s="58"/>
      <c r="U20" s="58" t="s">
        <v>120</v>
      </c>
      <c r="V20" s="58"/>
      <c r="W20" s="58" t="s">
        <v>121</v>
      </c>
      <c r="X20" s="58"/>
      <c r="Y20" s="58"/>
      <c r="Z20" s="58" t="s">
        <v>120</v>
      </c>
      <c r="AA20" s="58"/>
      <c r="AB20" s="58"/>
      <c r="AC20" s="58"/>
      <c r="AD20" s="58"/>
      <c r="AE20" s="58"/>
      <c r="AF20" s="58"/>
      <c r="AG20" s="58"/>
      <c r="AH20" s="58"/>
      <c r="AI20" s="58"/>
      <c r="AJ20" s="61"/>
      <c r="AK20" s="61"/>
      <c r="AL20" s="61"/>
      <c r="AM20" s="61"/>
      <c r="AN20" s="61"/>
      <c r="AO20" s="61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62"/>
      <c r="BE20" s="62"/>
      <c r="BF20" s="62"/>
      <c r="BG20" s="56">
        <f t="shared" si="5"/>
        <v>18</v>
      </c>
      <c r="BH20" s="42">
        <f t="shared" si="6"/>
        <v>14</v>
      </c>
      <c r="BI20" s="43">
        <f t="shared" si="7"/>
        <v>0.7777777778</v>
      </c>
      <c r="BJ20" s="44">
        <f t="shared" si="8"/>
        <v>4</v>
      </c>
      <c r="BK20" s="42">
        <f t="shared" si="9"/>
        <v>0</v>
      </c>
      <c r="BL20" s="63"/>
      <c r="BM20" s="28"/>
      <c r="BN20" s="28"/>
      <c r="BO20" s="28"/>
    </row>
    <row r="21">
      <c r="A21" s="14">
        <f t="shared" si="2"/>
        <v>18</v>
      </c>
      <c r="B21" s="47">
        <f t="shared" si="3"/>
        <v>45809</v>
      </c>
      <c r="C21" s="48">
        <v>45826.0</v>
      </c>
      <c r="D21" s="57">
        <f t="shared" si="4"/>
        <v>45826</v>
      </c>
      <c r="E21" s="58" t="s">
        <v>121</v>
      </c>
      <c r="F21" s="58" t="s">
        <v>120</v>
      </c>
      <c r="G21" s="59" t="s">
        <v>120</v>
      </c>
      <c r="H21" s="59" t="s">
        <v>120</v>
      </c>
      <c r="I21" s="59" t="s">
        <v>120</v>
      </c>
      <c r="J21" s="58" t="s">
        <v>121</v>
      </c>
      <c r="K21" s="58" t="s">
        <v>120</v>
      </c>
      <c r="L21" s="58" t="s">
        <v>120</v>
      </c>
      <c r="M21" s="58" t="s">
        <v>120</v>
      </c>
      <c r="N21" s="58" t="s">
        <v>120</v>
      </c>
      <c r="O21" s="58" t="s">
        <v>120</v>
      </c>
      <c r="P21" s="58" t="s">
        <v>120</v>
      </c>
      <c r="Q21" s="58" t="s">
        <v>120</v>
      </c>
      <c r="R21" s="58" t="s">
        <v>120</v>
      </c>
      <c r="S21" s="58" t="s">
        <v>120</v>
      </c>
      <c r="T21" s="58"/>
      <c r="U21" s="58" t="s">
        <v>120</v>
      </c>
      <c r="V21" s="58"/>
      <c r="W21" s="58" t="s">
        <v>120</v>
      </c>
      <c r="X21" s="58"/>
      <c r="Y21" s="58"/>
      <c r="Z21" s="58" t="s">
        <v>120</v>
      </c>
      <c r="AA21" s="58"/>
      <c r="AB21" s="58"/>
      <c r="AC21" s="58"/>
      <c r="AD21" s="58"/>
      <c r="AE21" s="58"/>
      <c r="AF21" s="58"/>
      <c r="AG21" s="58"/>
      <c r="AH21" s="58"/>
      <c r="AI21" s="58"/>
      <c r="AJ21" s="61"/>
      <c r="AK21" s="61"/>
      <c r="AL21" s="61"/>
      <c r="AM21" s="61"/>
      <c r="AN21" s="61"/>
      <c r="AO21" s="61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62"/>
      <c r="BE21" s="62"/>
      <c r="BF21" s="62"/>
      <c r="BG21" s="56">
        <f t="shared" si="5"/>
        <v>18</v>
      </c>
      <c r="BH21" s="42">
        <f t="shared" si="6"/>
        <v>16</v>
      </c>
      <c r="BI21" s="43">
        <f t="shared" si="7"/>
        <v>0.8888888889</v>
      </c>
      <c r="BJ21" s="44">
        <f t="shared" si="8"/>
        <v>2</v>
      </c>
      <c r="BK21" s="42">
        <f t="shared" si="9"/>
        <v>0</v>
      </c>
      <c r="BL21" s="63"/>
      <c r="BM21" s="28"/>
      <c r="BN21" s="28"/>
      <c r="BO21" s="28"/>
    </row>
    <row r="22">
      <c r="A22" s="14">
        <f t="shared" si="2"/>
        <v>19</v>
      </c>
      <c r="B22" s="47">
        <f t="shared" si="3"/>
        <v>45809</v>
      </c>
      <c r="C22" s="48">
        <v>45827.0</v>
      </c>
      <c r="D22" s="57">
        <f t="shared" si="4"/>
        <v>45827</v>
      </c>
      <c r="E22" s="58" t="s">
        <v>121</v>
      </c>
      <c r="F22" s="58" t="s">
        <v>120</v>
      </c>
      <c r="G22" s="59" t="s">
        <v>120</v>
      </c>
      <c r="H22" s="59" t="s">
        <v>121</v>
      </c>
      <c r="I22" s="59" t="s">
        <v>120</v>
      </c>
      <c r="J22" s="58" t="s">
        <v>120</v>
      </c>
      <c r="K22" s="58" t="s">
        <v>120</v>
      </c>
      <c r="L22" s="58" t="s">
        <v>120</v>
      </c>
      <c r="M22" s="58" t="s">
        <v>120</v>
      </c>
      <c r="N22" s="58" t="s">
        <v>120</v>
      </c>
      <c r="O22" s="58" t="s">
        <v>120</v>
      </c>
      <c r="P22" s="58" t="s">
        <v>121</v>
      </c>
      <c r="Q22" s="58" t="s">
        <v>120</v>
      </c>
      <c r="R22" s="58" t="s">
        <v>120</v>
      </c>
      <c r="S22" s="58" t="s">
        <v>120</v>
      </c>
      <c r="T22" s="58"/>
      <c r="U22" s="58" t="s">
        <v>120</v>
      </c>
      <c r="V22" s="58"/>
      <c r="W22" s="58" t="s">
        <v>121</v>
      </c>
      <c r="X22" s="58"/>
      <c r="Y22" s="58"/>
      <c r="Z22" s="58" t="s">
        <v>120</v>
      </c>
      <c r="AA22" s="58"/>
      <c r="AB22" s="58"/>
      <c r="AC22" s="58"/>
      <c r="AD22" s="58"/>
      <c r="AE22" s="58"/>
      <c r="AF22" s="58"/>
      <c r="AG22" s="58"/>
      <c r="AH22" s="58"/>
      <c r="AI22" s="58"/>
      <c r="AJ22" s="61"/>
      <c r="AK22" s="61"/>
      <c r="AL22" s="61"/>
      <c r="AM22" s="61"/>
      <c r="AN22" s="61"/>
      <c r="AO22" s="61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62"/>
      <c r="BE22" s="62"/>
      <c r="BF22" s="62"/>
      <c r="BG22" s="56">
        <f t="shared" si="5"/>
        <v>18</v>
      </c>
      <c r="BH22" s="42">
        <f t="shared" si="6"/>
        <v>14</v>
      </c>
      <c r="BI22" s="43">
        <f t="shared" si="7"/>
        <v>0.7777777778</v>
      </c>
      <c r="BJ22" s="44">
        <f t="shared" si="8"/>
        <v>4</v>
      </c>
      <c r="BK22" s="42">
        <f t="shared" si="9"/>
        <v>0</v>
      </c>
      <c r="BL22" s="63"/>
      <c r="BM22" s="28"/>
      <c r="BN22" s="28"/>
      <c r="BO22" s="28"/>
    </row>
    <row r="23">
      <c r="A23" s="14">
        <f t="shared" si="2"/>
        <v>20</v>
      </c>
      <c r="B23" s="47">
        <f t="shared" si="3"/>
        <v>45809</v>
      </c>
      <c r="C23" s="48">
        <v>45828.0</v>
      </c>
      <c r="D23" s="57">
        <f t="shared" si="4"/>
        <v>45828</v>
      </c>
      <c r="E23" s="58" t="s">
        <v>121</v>
      </c>
      <c r="F23" s="58" t="s">
        <v>120</v>
      </c>
      <c r="G23" s="59" t="s">
        <v>120</v>
      </c>
      <c r="H23" s="59" t="s">
        <v>120</v>
      </c>
      <c r="I23" s="59" t="s">
        <v>120</v>
      </c>
      <c r="J23" s="58" t="s">
        <v>120</v>
      </c>
      <c r="K23" s="58" t="s">
        <v>120</v>
      </c>
      <c r="L23" s="58" t="s">
        <v>120</v>
      </c>
      <c r="M23" s="58" t="s">
        <v>120</v>
      </c>
      <c r="N23" s="58" t="s">
        <v>120</v>
      </c>
      <c r="O23" s="58" t="s">
        <v>120</v>
      </c>
      <c r="P23" s="58" t="s">
        <v>120</v>
      </c>
      <c r="Q23" s="58" t="s">
        <v>120</v>
      </c>
      <c r="R23" s="58" t="s">
        <v>120</v>
      </c>
      <c r="S23" s="58" t="s">
        <v>120</v>
      </c>
      <c r="T23" s="58"/>
      <c r="U23" s="58" t="s">
        <v>120</v>
      </c>
      <c r="V23" s="58"/>
      <c r="W23" s="58" t="s">
        <v>120</v>
      </c>
      <c r="X23" s="58"/>
      <c r="Y23" s="58"/>
      <c r="Z23" s="58" t="s">
        <v>120</v>
      </c>
      <c r="AA23" s="58"/>
      <c r="AB23" s="58"/>
      <c r="AC23" s="58"/>
      <c r="AD23" s="58"/>
      <c r="AE23" s="58"/>
      <c r="AF23" s="58"/>
      <c r="AG23" s="58"/>
      <c r="AH23" s="58"/>
      <c r="AI23" s="58"/>
      <c r="AJ23" s="61"/>
      <c r="AK23" s="61"/>
      <c r="AL23" s="61"/>
      <c r="AM23" s="61"/>
      <c r="AN23" s="61"/>
      <c r="AO23" s="61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62"/>
      <c r="BE23" s="62"/>
      <c r="BF23" s="62"/>
      <c r="BG23" s="56">
        <f t="shared" si="5"/>
        <v>18</v>
      </c>
      <c r="BH23" s="42">
        <f t="shared" si="6"/>
        <v>17</v>
      </c>
      <c r="BI23" s="43">
        <f t="shared" si="7"/>
        <v>0.9444444444</v>
      </c>
      <c r="BJ23" s="44">
        <f t="shared" si="8"/>
        <v>1</v>
      </c>
      <c r="BK23" s="42">
        <f t="shared" si="9"/>
        <v>0</v>
      </c>
      <c r="BL23" s="63"/>
      <c r="BM23" s="28"/>
      <c r="BN23" s="28"/>
      <c r="BO23" s="28"/>
    </row>
    <row r="24">
      <c r="A24" s="14">
        <f t="shared" si="2"/>
        <v>21</v>
      </c>
      <c r="B24" s="47">
        <f t="shared" si="3"/>
        <v>45809</v>
      </c>
      <c r="C24" s="48">
        <v>45829.0</v>
      </c>
      <c r="D24" s="57">
        <f t="shared" si="4"/>
        <v>45829</v>
      </c>
      <c r="E24" s="58" t="s">
        <v>121</v>
      </c>
      <c r="F24" s="58" t="s">
        <v>120</v>
      </c>
      <c r="G24" s="59" t="s">
        <v>120</v>
      </c>
      <c r="H24" s="59" t="s">
        <v>120</v>
      </c>
      <c r="I24" s="59" t="s">
        <v>120</v>
      </c>
      <c r="J24" s="58" t="s">
        <v>120</v>
      </c>
      <c r="K24" s="58" t="s">
        <v>120</v>
      </c>
      <c r="L24" s="58" t="s">
        <v>120</v>
      </c>
      <c r="M24" s="58" t="s">
        <v>120</v>
      </c>
      <c r="N24" s="58" t="s">
        <v>120</v>
      </c>
      <c r="O24" s="58" t="s">
        <v>120</v>
      </c>
      <c r="P24" s="58" t="s">
        <v>120</v>
      </c>
      <c r="Q24" s="58" t="s">
        <v>120</v>
      </c>
      <c r="R24" s="58" t="s">
        <v>120</v>
      </c>
      <c r="S24" s="58" t="s">
        <v>120</v>
      </c>
      <c r="T24" s="58"/>
      <c r="U24" s="58" t="s">
        <v>120</v>
      </c>
      <c r="V24" s="58"/>
      <c r="W24" s="58" t="s">
        <v>121</v>
      </c>
      <c r="X24" s="58"/>
      <c r="Y24" s="58"/>
      <c r="Z24" s="58" t="s">
        <v>120</v>
      </c>
      <c r="AA24" s="58"/>
      <c r="AB24" s="58"/>
      <c r="AC24" s="58"/>
      <c r="AD24" s="58"/>
      <c r="AE24" s="58"/>
      <c r="AF24" s="58"/>
      <c r="AG24" s="58"/>
      <c r="AH24" s="58"/>
      <c r="AI24" s="58"/>
      <c r="AJ24" s="61"/>
      <c r="AK24" s="61"/>
      <c r="AL24" s="61"/>
      <c r="AM24" s="61"/>
      <c r="AN24" s="61"/>
      <c r="AO24" s="61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62"/>
      <c r="BE24" s="62"/>
      <c r="BF24" s="62"/>
      <c r="BG24" s="56">
        <f t="shared" si="5"/>
        <v>18</v>
      </c>
      <c r="BH24" s="42">
        <f t="shared" si="6"/>
        <v>16</v>
      </c>
      <c r="BI24" s="43">
        <f t="shared" si="7"/>
        <v>0.8888888889</v>
      </c>
      <c r="BJ24" s="44">
        <f t="shared" si="8"/>
        <v>2</v>
      </c>
      <c r="BK24" s="42">
        <f t="shared" si="9"/>
        <v>0</v>
      </c>
      <c r="BL24" s="63"/>
      <c r="BM24" s="28"/>
      <c r="BN24" s="28"/>
      <c r="BO24" s="28"/>
    </row>
    <row r="25">
      <c r="A25" s="14">
        <f t="shared" si="2"/>
        <v>22</v>
      </c>
      <c r="B25" s="47">
        <f t="shared" si="3"/>
        <v>45809</v>
      </c>
      <c r="C25" s="48">
        <v>45830.0</v>
      </c>
      <c r="D25" s="49">
        <f t="shared" si="4"/>
        <v>45830</v>
      </c>
      <c r="E25" s="50"/>
      <c r="F25" s="50"/>
      <c r="G25" s="52"/>
      <c r="H25" s="52"/>
      <c r="I25" s="52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64"/>
      <c r="AK25" s="64"/>
      <c r="AL25" s="64"/>
      <c r="AM25" s="64"/>
      <c r="AN25" s="64"/>
      <c r="AO25" s="64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64"/>
      <c r="BE25" s="64"/>
      <c r="BF25" s="64"/>
      <c r="BG25" s="56">
        <f t="shared" si="5"/>
        <v>0</v>
      </c>
      <c r="BH25" s="42">
        <f t="shared" si="6"/>
        <v>0</v>
      </c>
      <c r="BI25" s="43" t="str">
        <f t="shared" si="7"/>
        <v>#DIV/0!</v>
      </c>
      <c r="BJ25" s="44">
        <f t="shared" si="8"/>
        <v>0</v>
      </c>
      <c r="BK25" s="42">
        <f t="shared" si="9"/>
        <v>0</v>
      </c>
      <c r="BL25" s="63"/>
      <c r="BM25" s="28"/>
      <c r="BN25" s="28"/>
      <c r="BO25" s="28"/>
    </row>
    <row r="26">
      <c r="A26" s="14">
        <f t="shared" si="2"/>
        <v>23</v>
      </c>
      <c r="B26" s="47">
        <f t="shared" si="3"/>
        <v>45809</v>
      </c>
      <c r="C26" s="48">
        <v>45831.0</v>
      </c>
      <c r="D26" s="57">
        <f t="shared" si="4"/>
        <v>45831</v>
      </c>
      <c r="E26" s="58" t="s">
        <v>120</v>
      </c>
      <c r="F26" s="58" t="s">
        <v>120</v>
      </c>
      <c r="G26" s="59" t="s">
        <v>120</v>
      </c>
      <c r="H26" s="59" t="s">
        <v>120</v>
      </c>
      <c r="I26" s="59" t="s">
        <v>120</v>
      </c>
      <c r="J26" s="58" t="s">
        <v>120</v>
      </c>
      <c r="K26" s="58" t="s">
        <v>120</v>
      </c>
      <c r="L26" s="58" t="s">
        <v>120</v>
      </c>
      <c r="M26" s="58" t="s">
        <v>120</v>
      </c>
      <c r="N26" s="58" t="s">
        <v>120</v>
      </c>
      <c r="O26" s="58" t="s">
        <v>120</v>
      </c>
      <c r="P26" s="58" t="s">
        <v>120</v>
      </c>
      <c r="Q26" s="58" t="s">
        <v>120</v>
      </c>
      <c r="R26" s="58" t="s">
        <v>120</v>
      </c>
      <c r="S26" s="58" t="s">
        <v>120</v>
      </c>
      <c r="T26" s="58"/>
      <c r="U26" s="58" t="s">
        <v>120</v>
      </c>
      <c r="V26" s="58"/>
      <c r="W26" s="58" t="s">
        <v>120</v>
      </c>
      <c r="X26" s="58"/>
      <c r="Y26" s="58"/>
      <c r="Z26" s="58" t="s">
        <v>120</v>
      </c>
      <c r="AA26" s="58"/>
      <c r="AB26" s="58"/>
      <c r="AC26" s="58"/>
      <c r="AD26" s="58"/>
      <c r="AE26" s="58"/>
      <c r="AF26" s="58"/>
      <c r="AG26" s="58"/>
      <c r="AH26" s="58"/>
      <c r="AI26" s="58"/>
      <c r="AJ26" s="61"/>
      <c r="AK26" s="61"/>
      <c r="AL26" s="61"/>
      <c r="AM26" s="61"/>
      <c r="AN26" s="61"/>
      <c r="AO26" s="61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62"/>
      <c r="BE26" s="62"/>
      <c r="BF26" s="62"/>
      <c r="BG26" s="56">
        <f t="shared" si="5"/>
        <v>18</v>
      </c>
      <c r="BH26" s="42">
        <f t="shared" si="6"/>
        <v>18</v>
      </c>
      <c r="BI26" s="43">
        <f t="shared" si="7"/>
        <v>1</v>
      </c>
      <c r="BJ26" s="44">
        <f t="shared" si="8"/>
        <v>0</v>
      </c>
      <c r="BK26" s="42">
        <f t="shared" si="9"/>
        <v>0</v>
      </c>
      <c r="BL26" s="63"/>
      <c r="BM26" s="28"/>
      <c r="BN26" s="28"/>
      <c r="BO26" s="28"/>
    </row>
    <row r="27">
      <c r="A27" s="14">
        <f t="shared" si="2"/>
        <v>24</v>
      </c>
      <c r="B27" s="47">
        <f t="shared" si="3"/>
        <v>45809</v>
      </c>
      <c r="C27" s="48">
        <v>45832.0</v>
      </c>
      <c r="D27" s="57">
        <f t="shared" si="4"/>
        <v>45832</v>
      </c>
      <c r="E27" s="58" t="s">
        <v>121</v>
      </c>
      <c r="F27" s="59" t="s">
        <v>120</v>
      </c>
      <c r="G27" s="59" t="s">
        <v>120</v>
      </c>
      <c r="H27" s="59" t="s">
        <v>120</v>
      </c>
      <c r="I27" s="59" t="s">
        <v>120</v>
      </c>
      <c r="J27" s="58" t="s">
        <v>120</v>
      </c>
      <c r="K27" s="58" t="s">
        <v>120</v>
      </c>
      <c r="L27" s="58" t="s">
        <v>120</v>
      </c>
      <c r="M27" s="58" t="s">
        <v>120</v>
      </c>
      <c r="N27" s="58" t="s">
        <v>120</v>
      </c>
      <c r="O27" s="58" t="s">
        <v>120</v>
      </c>
      <c r="P27" s="58" t="s">
        <v>120</v>
      </c>
      <c r="Q27" s="58" t="s">
        <v>120</v>
      </c>
      <c r="R27" s="58" t="s">
        <v>120</v>
      </c>
      <c r="S27" s="58" t="s">
        <v>120</v>
      </c>
      <c r="T27" s="58"/>
      <c r="U27" s="58" t="s">
        <v>120</v>
      </c>
      <c r="V27" s="58"/>
      <c r="W27" s="58" t="s">
        <v>120</v>
      </c>
      <c r="X27" s="58"/>
      <c r="Y27" s="58"/>
      <c r="Z27" s="58" t="s">
        <v>121</v>
      </c>
      <c r="AA27" s="58"/>
      <c r="AB27" s="58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62"/>
      <c r="BE27" s="62"/>
      <c r="BF27" s="62"/>
      <c r="BG27" s="56">
        <f t="shared" si="5"/>
        <v>18</v>
      </c>
      <c r="BH27" s="42">
        <f t="shared" si="6"/>
        <v>16</v>
      </c>
      <c r="BI27" s="43">
        <f t="shared" si="7"/>
        <v>0.8888888889</v>
      </c>
      <c r="BJ27" s="44">
        <f t="shared" si="8"/>
        <v>2</v>
      </c>
      <c r="BK27" s="42">
        <f t="shared" si="9"/>
        <v>0</v>
      </c>
      <c r="BL27" s="63"/>
      <c r="BM27" s="28"/>
      <c r="BN27" s="28"/>
      <c r="BO27" s="28"/>
    </row>
    <row r="28">
      <c r="A28" s="14">
        <f t="shared" si="2"/>
        <v>25</v>
      </c>
      <c r="B28" s="47">
        <f t="shared" si="3"/>
        <v>45809</v>
      </c>
      <c r="C28" s="48">
        <v>45833.0</v>
      </c>
      <c r="D28" s="57">
        <f t="shared" si="4"/>
        <v>45833</v>
      </c>
      <c r="E28" s="58" t="s">
        <v>121</v>
      </c>
      <c r="F28" s="59" t="s">
        <v>120</v>
      </c>
      <c r="G28" s="59" t="s">
        <v>120</v>
      </c>
      <c r="H28" s="59" t="s">
        <v>120</v>
      </c>
      <c r="I28" s="59" t="s">
        <v>120</v>
      </c>
      <c r="J28" s="58" t="s">
        <v>120</v>
      </c>
      <c r="K28" s="58" t="s">
        <v>120</v>
      </c>
      <c r="L28" s="58" t="s">
        <v>120</v>
      </c>
      <c r="M28" s="58" t="s">
        <v>120</v>
      </c>
      <c r="N28" s="58" t="s">
        <v>120</v>
      </c>
      <c r="O28" s="58" t="s">
        <v>120</v>
      </c>
      <c r="P28" s="58" t="s">
        <v>121</v>
      </c>
      <c r="Q28" s="58" t="s">
        <v>120</v>
      </c>
      <c r="R28" s="58" t="s">
        <v>120</v>
      </c>
      <c r="S28" s="58" t="s">
        <v>120</v>
      </c>
      <c r="T28" s="58"/>
      <c r="U28" s="58" t="s">
        <v>120</v>
      </c>
      <c r="V28" s="58"/>
      <c r="W28" s="58" t="s">
        <v>120</v>
      </c>
      <c r="X28" s="58"/>
      <c r="Y28" s="58"/>
      <c r="Z28" s="58" t="s">
        <v>120</v>
      </c>
      <c r="AA28" s="58"/>
      <c r="AB28" s="58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62"/>
      <c r="BE28" s="62"/>
      <c r="BF28" s="62"/>
      <c r="BG28" s="56">
        <f t="shared" si="5"/>
        <v>18</v>
      </c>
      <c r="BH28" s="42">
        <f t="shared" si="6"/>
        <v>16</v>
      </c>
      <c r="BI28" s="43">
        <f t="shared" si="7"/>
        <v>0.8888888889</v>
      </c>
      <c r="BJ28" s="44">
        <f t="shared" si="8"/>
        <v>2</v>
      </c>
      <c r="BK28" s="42">
        <f t="shared" si="9"/>
        <v>0</v>
      </c>
      <c r="BL28" s="63"/>
      <c r="BM28" s="28"/>
      <c r="BN28" s="28"/>
      <c r="BO28" s="28"/>
    </row>
    <row r="29">
      <c r="A29" s="14">
        <f t="shared" si="2"/>
        <v>26</v>
      </c>
      <c r="B29" s="47">
        <f t="shared" si="3"/>
        <v>45809</v>
      </c>
      <c r="C29" s="48">
        <v>45834.0</v>
      </c>
      <c r="D29" s="57">
        <f t="shared" si="4"/>
        <v>45834</v>
      </c>
      <c r="E29" s="58" t="s">
        <v>121</v>
      </c>
      <c r="F29" s="59" t="s">
        <v>121</v>
      </c>
      <c r="G29" s="59" t="s">
        <v>120</v>
      </c>
      <c r="H29" s="59" t="s">
        <v>120</v>
      </c>
      <c r="I29" s="59" t="s">
        <v>120</v>
      </c>
      <c r="J29" s="58" t="s">
        <v>120</v>
      </c>
      <c r="K29" s="58" t="s">
        <v>120</v>
      </c>
      <c r="L29" s="58" t="s">
        <v>120</v>
      </c>
      <c r="M29" s="58" t="s">
        <v>120</v>
      </c>
      <c r="N29" s="58" t="s">
        <v>120</v>
      </c>
      <c r="O29" s="58" t="s">
        <v>120</v>
      </c>
      <c r="P29" s="58" t="s">
        <v>120</v>
      </c>
      <c r="Q29" s="58" t="s">
        <v>121</v>
      </c>
      <c r="R29" s="58" t="s">
        <v>120</v>
      </c>
      <c r="S29" s="58" t="s">
        <v>120</v>
      </c>
      <c r="T29" s="58"/>
      <c r="U29" s="58" t="s">
        <v>120</v>
      </c>
      <c r="V29" s="58"/>
      <c r="W29" s="58" t="s">
        <v>120</v>
      </c>
      <c r="X29" s="58"/>
      <c r="Y29" s="58"/>
      <c r="Z29" s="58" t="s">
        <v>120</v>
      </c>
      <c r="AA29" s="58"/>
      <c r="AB29" s="58"/>
      <c r="AC29" s="58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62"/>
      <c r="BE29" s="62"/>
      <c r="BF29" s="62"/>
      <c r="BG29" s="56">
        <f t="shared" si="5"/>
        <v>18</v>
      </c>
      <c r="BH29" s="42">
        <f t="shared" si="6"/>
        <v>15</v>
      </c>
      <c r="BI29" s="43">
        <f t="shared" si="7"/>
        <v>0.8333333333</v>
      </c>
      <c r="BJ29" s="44">
        <f t="shared" si="8"/>
        <v>3</v>
      </c>
      <c r="BK29" s="42">
        <f t="shared" si="9"/>
        <v>0</v>
      </c>
      <c r="BL29" s="63"/>
      <c r="BM29" s="28"/>
      <c r="BN29" s="28"/>
      <c r="BO29" s="28"/>
    </row>
    <row r="30">
      <c r="A30" s="14">
        <f t="shared" si="2"/>
        <v>27</v>
      </c>
      <c r="B30" s="47">
        <f t="shared" si="3"/>
        <v>45809</v>
      </c>
      <c r="C30" s="48">
        <v>45835.0</v>
      </c>
      <c r="D30" s="57">
        <f t="shared" si="4"/>
        <v>45835</v>
      </c>
      <c r="E30" s="58" t="s">
        <v>121</v>
      </c>
      <c r="F30" s="59" t="s">
        <v>120</v>
      </c>
      <c r="G30" s="59" t="s">
        <v>120</v>
      </c>
      <c r="H30" s="59" t="s">
        <v>120</v>
      </c>
      <c r="I30" s="59" t="s">
        <v>120</v>
      </c>
      <c r="J30" s="58" t="s">
        <v>120</v>
      </c>
      <c r="K30" s="58" t="s">
        <v>120</v>
      </c>
      <c r="L30" s="58" t="s">
        <v>120</v>
      </c>
      <c r="M30" s="58" t="s">
        <v>120</v>
      </c>
      <c r="N30" s="58" t="s">
        <v>120</v>
      </c>
      <c r="O30" s="58" t="s">
        <v>120</v>
      </c>
      <c r="P30" s="58" t="s">
        <v>120</v>
      </c>
      <c r="Q30" s="58" t="s">
        <v>121</v>
      </c>
      <c r="R30" s="58" t="s">
        <v>120</v>
      </c>
      <c r="S30" s="58" t="s">
        <v>121</v>
      </c>
      <c r="T30" s="58"/>
      <c r="U30" s="58" t="s">
        <v>120</v>
      </c>
      <c r="V30" s="58"/>
      <c r="W30" s="58" t="s">
        <v>120</v>
      </c>
      <c r="X30" s="58"/>
      <c r="Y30" s="58"/>
      <c r="Z30" s="58" t="s">
        <v>120</v>
      </c>
      <c r="AA30" s="58"/>
      <c r="AB30" s="58"/>
      <c r="AC30" s="61"/>
      <c r="AD30" s="61"/>
      <c r="AE30" s="58"/>
      <c r="AF30" s="58"/>
      <c r="AG30" s="61"/>
      <c r="AH30" s="61"/>
      <c r="AI30" s="61"/>
      <c r="AJ30" s="61"/>
      <c r="AK30" s="61"/>
      <c r="AL30" s="58"/>
      <c r="AM30" s="61"/>
      <c r="AN30" s="58"/>
      <c r="AO30" s="61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62"/>
      <c r="BE30" s="62"/>
      <c r="BF30" s="62"/>
      <c r="BG30" s="56">
        <f t="shared" si="5"/>
        <v>18</v>
      </c>
      <c r="BH30" s="42">
        <f t="shared" si="6"/>
        <v>15</v>
      </c>
      <c r="BI30" s="43">
        <f t="shared" si="7"/>
        <v>0.8333333333</v>
      </c>
      <c r="BJ30" s="44">
        <f t="shared" si="8"/>
        <v>3</v>
      </c>
      <c r="BK30" s="42">
        <f t="shared" si="9"/>
        <v>0</v>
      </c>
      <c r="BL30" s="63"/>
      <c r="BM30" s="28"/>
      <c r="BN30" s="28"/>
      <c r="BO30" s="28"/>
    </row>
    <row r="31">
      <c r="A31" s="14">
        <f t="shared" si="2"/>
        <v>28</v>
      </c>
      <c r="B31" s="47">
        <f t="shared" si="3"/>
        <v>45809</v>
      </c>
      <c r="C31" s="48">
        <v>45836.0</v>
      </c>
      <c r="D31" s="57">
        <f t="shared" si="4"/>
        <v>45836</v>
      </c>
      <c r="E31" s="58" t="s">
        <v>121</v>
      </c>
      <c r="F31" s="59" t="s">
        <v>121</v>
      </c>
      <c r="G31" s="59" t="s">
        <v>120</v>
      </c>
      <c r="H31" s="59" t="s">
        <v>120</v>
      </c>
      <c r="I31" s="59" t="s">
        <v>120</v>
      </c>
      <c r="J31" s="58" t="s">
        <v>120</v>
      </c>
      <c r="K31" s="58" t="s">
        <v>120</v>
      </c>
      <c r="L31" s="58" t="s">
        <v>120</v>
      </c>
      <c r="M31" s="58" t="s">
        <v>120</v>
      </c>
      <c r="N31" s="58" t="s">
        <v>120</v>
      </c>
      <c r="O31" s="58" t="s">
        <v>120</v>
      </c>
      <c r="P31" s="58" t="s">
        <v>120</v>
      </c>
      <c r="Q31" s="58" t="s">
        <v>120</v>
      </c>
      <c r="R31" s="58" t="s">
        <v>120</v>
      </c>
      <c r="S31" s="58" t="s">
        <v>120</v>
      </c>
      <c r="T31" s="58"/>
      <c r="U31" s="58" t="s">
        <v>120</v>
      </c>
      <c r="V31" s="58"/>
      <c r="W31" s="58" t="s">
        <v>120</v>
      </c>
      <c r="X31" s="58"/>
      <c r="Y31" s="58"/>
      <c r="Z31" s="58" t="s">
        <v>120</v>
      </c>
      <c r="AA31" s="58"/>
      <c r="AB31" s="58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62"/>
      <c r="BE31" s="62"/>
      <c r="BF31" s="62"/>
      <c r="BG31" s="56">
        <f t="shared" si="5"/>
        <v>18</v>
      </c>
      <c r="BH31" s="42">
        <f t="shared" si="6"/>
        <v>16</v>
      </c>
      <c r="BI31" s="43">
        <f t="shared" si="7"/>
        <v>0.8888888889</v>
      </c>
      <c r="BJ31" s="44">
        <f t="shared" si="8"/>
        <v>2</v>
      </c>
      <c r="BK31" s="42">
        <f t="shared" si="9"/>
        <v>0</v>
      </c>
      <c r="BL31" s="63"/>
      <c r="BM31" s="28"/>
      <c r="BN31" s="28"/>
      <c r="BO31" s="28"/>
    </row>
    <row r="32">
      <c r="A32" s="14">
        <f t="shared" si="2"/>
        <v>29</v>
      </c>
      <c r="B32" s="47">
        <f t="shared" si="3"/>
        <v>45809</v>
      </c>
      <c r="C32" s="48">
        <v>45837.0</v>
      </c>
      <c r="D32" s="49">
        <f t="shared" si="4"/>
        <v>45837</v>
      </c>
      <c r="E32" s="50"/>
      <c r="F32" s="52"/>
      <c r="G32" s="52"/>
      <c r="H32" s="52"/>
      <c r="I32" s="52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65"/>
      <c r="AD32" s="65"/>
      <c r="AE32" s="65"/>
      <c r="AF32" s="50"/>
      <c r="AG32" s="65"/>
      <c r="AH32" s="65"/>
      <c r="AI32" s="65"/>
      <c r="AJ32" s="64"/>
      <c r="AK32" s="66"/>
      <c r="AL32" s="64"/>
      <c r="AM32" s="64"/>
      <c r="AN32" s="64"/>
      <c r="AO32" s="64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64"/>
      <c r="BE32" s="64"/>
      <c r="BF32" s="64"/>
      <c r="BG32" s="56">
        <f t="shared" si="5"/>
        <v>0</v>
      </c>
      <c r="BH32" s="42">
        <f t="shared" si="6"/>
        <v>0</v>
      </c>
      <c r="BI32" s="43" t="str">
        <f t="shared" si="7"/>
        <v>#DIV/0!</v>
      </c>
      <c r="BJ32" s="44">
        <f t="shared" si="8"/>
        <v>0</v>
      </c>
      <c r="BK32" s="42">
        <f t="shared" si="9"/>
        <v>0</v>
      </c>
      <c r="BL32" s="63"/>
      <c r="BM32" s="28"/>
      <c r="BN32" s="28"/>
      <c r="BO32" s="28"/>
    </row>
    <row r="33">
      <c r="A33" s="14">
        <f t="shared" si="2"/>
        <v>30</v>
      </c>
      <c r="B33" s="47">
        <f t="shared" si="3"/>
        <v>45809</v>
      </c>
      <c r="C33" s="48">
        <v>45838.0</v>
      </c>
      <c r="D33" s="57">
        <f t="shared" si="4"/>
        <v>45838</v>
      </c>
      <c r="E33" s="58" t="s">
        <v>121</v>
      </c>
      <c r="F33" s="59" t="s">
        <v>120</v>
      </c>
      <c r="G33" s="58" t="s">
        <v>120</v>
      </c>
      <c r="H33" s="58" t="s">
        <v>120</v>
      </c>
      <c r="I33" s="58" t="s">
        <v>120</v>
      </c>
      <c r="J33" s="58" t="s">
        <v>120</v>
      </c>
      <c r="K33" s="58" t="s">
        <v>120</v>
      </c>
      <c r="L33" s="58" t="s">
        <v>120</v>
      </c>
      <c r="M33" s="58" t="s">
        <v>120</v>
      </c>
      <c r="N33" s="58" t="s">
        <v>120</v>
      </c>
      <c r="O33" s="58" t="s">
        <v>120</v>
      </c>
      <c r="P33" s="58" t="s">
        <v>120</v>
      </c>
      <c r="Q33" s="58" t="s">
        <v>120</v>
      </c>
      <c r="R33" s="58" t="s">
        <v>120</v>
      </c>
      <c r="S33" s="58" t="s">
        <v>121</v>
      </c>
      <c r="T33" s="58"/>
      <c r="U33" s="58" t="s">
        <v>120</v>
      </c>
      <c r="V33" s="58"/>
      <c r="W33" s="58" t="s">
        <v>120</v>
      </c>
      <c r="X33" s="67"/>
      <c r="Y33" s="58"/>
      <c r="Z33" s="58" t="s">
        <v>120</v>
      </c>
      <c r="AA33" s="61"/>
      <c r="AB33" s="61"/>
      <c r="AC33" s="58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62"/>
      <c r="BE33" s="62"/>
      <c r="BF33" s="62"/>
      <c r="BG33" s="56">
        <f t="shared" si="5"/>
        <v>18</v>
      </c>
      <c r="BH33" s="42">
        <f t="shared" si="6"/>
        <v>16</v>
      </c>
      <c r="BI33" s="43">
        <f t="shared" si="7"/>
        <v>0.8888888889</v>
      </c>
      <c r="BJ33" s="44">
        <f t="shared" si="8"/>
        <v>2</v>
      </c>
      <c r="BK33" s="42">
        <f t="shared" si="9"/>
        <v>0</v>
      </c>
      <c r="BL33" s="63"/>
      <c r="BM33" s="28"/>
      <c r="BN33" s="28"/>
      <c r="BO33" s="28"/>
    </row>
    <row r="34">
      <c r="A34" s="14">
        <f t="shared" si="2"/>
        <v>31</v>
      </c>
      <c r="B34" s="68">
        <f t="shared" si="3"/>
        <v>45839</v>
      </c>
      <c r="C34" s="48">
        <v>45839.0</v>
      </c>
      <c r="D34" s="57">
        <f t="shared" si="4"/>
        <v>45839</v>
      </c>
      <c r="E34" s="58" t="s">
        <v>121</v>
      </c>
      <c r="F34" s="59" t="s">
        <v>121</v>
      </c>
      <c r="G34" s="58" t="s">
        <v>121</v>
      </c>
      <c r="H34" s="58" t="s">
        <v>120</v>
      </c>
      <c r="I34" s="58" t="s">
        <v>120</v>
      </c>
      <c r="J34" s="58" t="s">
        <v>121</v>
      </c>
      <c r="K34" s="58" t="s">
        <v>120</v>
      </c>
      <c r="L34" s="58" t="s">
        <v>120</v>
      </c>
      <c r="M34" s="58" t="s">
        <v>120</v>
      </c>
      <c r="N34" s="58" t="s">
        <v>120</v>
      </c>
      <c r="O34" s="58" t="s">
        <v>120</v>
      </c>
      <c r="P34" s="58" t="s">
        <v>121</v>
      </c>
      <c r="Q34" s="58" t="s">
        <v>120</v>
      </c>
      <c r="R34" s="58" t="s">
        <v>121</v>
      </c>
      <c r="S34" s="58" t="s">
        <v>121</v>
      </c>
      <c r="T34" s="58" t="s">
        <v>120</v>
      </c>
      <c r="U34" s="58" t="s">
        <v>120</v>
      </c>
      <c r="V34" s="58" t="s">
        <v>120</v>
      </c>
      <c r="W34" s="58" t="s">
        <v>120</v>
      </c>
      <c r="X34" s="58" t="s">
        <v>120</v>
      </c>
      <c r="Y34" s="58" t="s">
        <v>120</v>
      </c>
      <c r="Z34" s="58" t="s">
        <v>120</v>
      </c>
      <c r="AA34" s="58" t="s">
        <v>120</v>
      </c>
      <c r="AB34" s="58"/>
      <c r="AC34" s="58" t="s">
        <v>121</v>
      </c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62"/>
      <c r="BE34" s="62"/>
      <c r="BF34" s="62"/>
      <c r="BG34" s="56">
        <f t="shared" si="5"/>
        <v>24</v>
      </c>
      <c r="BH34" s="42">
        <f t="shared" si="6"/>
        <v>16</v>
      </c>
      <c r="BI34" s="43">
        <f t="shared" si="7"/>
        <v>0.6666666667</v>
      </c>
      <c r="BJ34" s="44">
        <f t="shared" si="8"/>
        <v>8</v>
      </c>
      <c r="BK34" s="42">
        <f t="shared" si="9"/>
        <v>0</v>
      </c>
      <c r="BL34" s="63"/>
      <c r="BM34" s="28"/>
      <c r="BN34" s="28"/>
      <c r="BO34" s="28"/>
    </row>
    <row r="35">
      <c r="A35" s="14">
        <f t="shared" si="2"/>
        <v>32</v>
      </c>
      <c r="B35" s="68">
        <f t="shared" si="3"/>
        <v>45839</v>
      </c>
      <c r="C35" s="48">
        <v>45840.0</v>
      </c>
      <c r="D35" s="57">
        <f t="shared" si="4"/>
        <v>45840</v>
      </c>
      <c r="E35" s="58" t="s">
        <v>121</v>
      </c>
      <c r="F35" s="59" t="s">
        <v>120</v>
      </c>
      <c r="G35" s="58" t="s">
        <v>121</v>
      </c>
      <c r="H35" s="58" t="s">
        <v>120</v>
      </c>
      <c r="I35" s="58" t="s">
        <v>120</v>
      </c>
      <c r="J35" s="58" t="s">
        <v>121</v>
      </c>
      <c r="K35" s="58" t="s">
        <v>120</v>
      </c>
      <c r="L35" s="58" t="s">
        <v>120</v>
      </c>
      <c r="M35" s="58" t="s">
        <v>120</v>
      </c>
      <c r="N35" s="58" t="s">
        <v>120</v>
      </c>
      <c r="O35" s="58" t="s">
        <v>120</v>
      </c>
      <c r="P35" s="58" t="s">
        <v>121</v>
      </c>
      <c r="Q35" s="58" t="s">
        <v>121</v>
      </c>
      <c r="R35" s="58" t="s">
        <v>120</v>
      </c>
      <c r="S35" s="58" t="s">
        <v>120</v>
      </c>
      <c r="T35" s="58" t="s">
        <v>120</v>
      </c>
      <c r="U35" s="58" t="s">
        <v>120</v>
      </c>
      <c r="V35" s="58" t="s">
        <v>120</v>
      </c>
      <c r="W35" s="58" t="s">
        <v>120</v>
      </c>
      <c r="X35" s="58" t="s">
        <v>120</v>
      </c>
      <c r="Y35" s="58" t="s">
        <v>120</v>
      </c>
      <c r="Z35" s="58" t="s">
        <v>120</v>
      </c>
      <c r="AA35" s="58" t="s">
        <v>120</v>
      </c>
      <c r="AB35" s="58"/>
      <c r="AC35" s="58" t="s">
        <v>120</v>
      </c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62"/>
      <c r="BE35" s="62"/>
      <c r="BF35" s="62"/>
      <c r="BG35" s="56">
        <f t="shared" si="5"/>
        <v>24</v>
      </c>
      <c r="BH35" s="42">
        <f t="shared" si="6"/>
        <v>19</v>
      </c>
      <c r="BI35" s="43">
        <f t="shared" si="7"/>
        <v>0.7916666667</v>
      </c>
      <c r="BJ35" s="44">
        <f t="shared" si="8"/>
        <v>5</v>
      </c>
      <c r="BK35" s="42">
        <f t="shared" si="9"/>
        <v>0</v>
      </c>
      <c r="BL35" s="63"/>
      <c r="BM35" s="28"/>
      <c r="BN35" s="28"/>
      <c r="BO35" s="28"/>
    </row>
    <row r="36">
      <c r="A36" s="14">
        <f t="shared" si="2"/>
        <v>33</v>
      </c>
      <c r="B36" s="68">
        <f t="shared" si="3"/>
        <v>45839</v>
      </c>
      <c r="C36" s="48">
        <v>45841.0</v>
      </c>
      <c r="D36" s="57">
        <f t="shared" si="4"/>
        <v>45841</v>
      </c>
      <c r="E36" s="58" t="s">
        <v>121</v>
      </c>
      <c r="F36" s="59" t="s">
        <v>120</v>
      </c>
      <c r="G36" s="58" t="s">
        <v>120</v>
      </c>
      <c r="H36" s="58" t="s">
        <v>120</v>
      </c>
      <c r="I36" s="58" t="s">
        <v>120</v>
      </c>
      <c r="J36" s="58" t="s">
        <v>121</v>
      </c>
      <c r="K36" s="58" t="s">
        <v>120</v>
      </c>
      <c r="L36" s="58" t="s">
        <v>121</v>
      </c>
      <c r="M36" s="58" t="s">
        <v>120</v>
      </c>
      <c r="N36" s="58" t="s">
        <v>120</v>
      </c>
      <c r="O36" s="58" t="s">
        <v>120</v>
      </c>
      <c r="P36" s="58" t="s">
        <v>121</v>
      </c>
      <c r="Q36" s="58" t="s">
        <v>121</v>
      </c>
      <c r="R36" s="58" t="s">
        <v>120</v>
      </c>
      <c r="S36" s="58" t="s">
        <v>120</v>
      </c>
      <c r="T36" s="58" t="s">
        <v>120</v>
      </c>
      <c r="U36" s="58" t="s">
        <v>120</v>
      </c>
      <c r="V36" s="58" t="s">
        <v>120</v>
      </c>
      <c r="W36" s="58" t="s">
        <v>120</v>
      </c>
      <c r="X36" s="58" t="s">
        <v>120</v>
      </c>
      <c r="Y36" s="58" t="s">
        <v>120</v>
      </c>
      <c r="Z36" s="58" t="s">
        <v>121</v>
      </c>
      <c r="AA36" s="58" t="s">
        <v>120</v>
      </c>
      <c r="AB36" s="58"/>
      <c r="AC36" s="58" t="s">
        <v>121</v>
      </c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62"/>
      <c r="BE36" s="62"/>
      <c r="BF36" s="62"/>
      <c r="BG36" s="56">
        <f t="shared" si="5"/>
        <v>24</v>
      </c>
      <c r="BH36" s="42">
        <f t="shared" si="6"/>
        <v>17</v>
      </c>
      <c r="BI36" s="43">
        <f t="shared" si="7"/>
        <v>0.7083333333</v>
      </c>
      <c r="BJ36" s="44">
        <f t="shared" si="8"/>
        <v>7</v>
      </c>
      <c r="BK36" s="42">
        <f t="shared" si="9"/>
        <v>0</v>
      </c>
      <c r="BL36" s="63"/>
      <c r="BM36" s="28"/>
      <c r="BN36" s="28"/>
      <c r="BO36" s="28"/>
    </row>
    <row r="37">
      <c r="A37" s="14">
        <f t="shared" si="2"/>
        <v>34</v>
      </c>
      <c r="B37" s="68">
        <f t="shared" si="3"/>
        <v>45839</v>
      </c>
      <c r="C37" s="48">
        <v>45842.0</v>
      </c>
      <c r="D37" s="57">
        <f t="shared" si="4"/>
        <v>45842</v>
      </c>
      <c r="E37" s="58" t="s">
        <v>121</v>
      </c>
      <c r="F37" s="59" t="s">
        <v>120</v>
      </c>
      <c r="G37" s="58" t="s">
        <v>120</v>
      </c>
      <c r="H37" s="58" t="s">
        <v>121</v>
      </c>
      <c r="I37" s="58" t="s">
        <v>120</v>
      </c>
      <c r="J37" s="58" t="s">
        <v>121</v>
      </c>
      <c r="K37" s="58" t="s">
        <v>120</v>
      </c>
      <c r="L37" s="58" t="s">
        <v>120</v>
      </c>
      <c r="M37" s="58" t="s">
        <v>120</v>
      </c>
      <c r="N37" s="58" t="s">
        <v>120</v>
      </c>
      <c r="O37" s="58" t="s">
        <v>120</v>
      </c>
      <c r="P37" s="58" t="s">
        <v>120</v>
      </c>
      <c r="Q37" s="58" t="s">
        <v>120</v>
      </c>
      <c r="R37" s="58" t="s">
        <v>120</v>
      </c>
      <c r="S37" s="58" t="s">
        <v>120</v>
      </c>
      <c r="T37" s="58" t="s">
        <v>120</v>
      </c>
      <c r="U37" s="58" t="s">
        <v>121</v>
      </c>
      <c r="V37" s="58" t="s">
        <v>120</v>
      </c>
      <c r="W37" s="58" t="s">
        <v>120</v>
      </c>
      <c r="X37" s="58" t="s">
        <v>120</v>
      </c>
      <c r="Y37" s="58" t="s">
        <v>120</v>
      </c>
      <c r="Z37" s="58" t="s">
        <v>121</v>
      </c>
      <c r="AA37" s="58" t="s">
        <v>120</v>
      </c>
      <c r="AB37" s="58"/>
      <c r="AC37" s="58" t="s">
        <v>121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62"/>
      <c r="BE37" s="62"/>
      <c r="BF37" s="62"/>
      <c r="BG37" s="56">
        <f t="shared" si="5"/>
        <v>24</v>
      </c>
      <c r="BH37" s="42">
        <f t="shared" si="6"/>
        <v>18</v>
      </c>
      <c r="BI37" s="43">
        <f t="shared" si="7"/>
        <v>0.75</v>
      </c>
      <c r="BJ37" s="44">
        <f t="shared" si="8"/>
        <v>6</v>
      </c>
      <c r="BK37" s="42">
        <f t="shared" si="9"/>
        <v>0</v>
      </c>
      <c r="BL37" s="63"/>
      <c r="BM37" s="28"/>
      <c r="BN37" s="28"/>
      <c r="BO37" s="28"/>
    </row>
    <row r="38">
      <c r="A38" s="14">
        <f t="shared" si="2"/>
        <v>35</v>
      </c>
      <c r="B38" s="68">
        <f t="shared" si="3"/>
        <v>45839</v>
      </c>
      <c r="C38" s="48">
        <v>45843.0</v>
      </c>
      <c r="D38" s="57">
        <f t="shared" si="4"/>
        <v>45843</v>
      </c>
      <c r="E38" s="58" t="s">
        <v>121</v>
      </c>
      <c r="F38" s="58" t="s">
        <v>121</v>
      </c>
      <c r="G38" s="58" t="s">
        <v>121</v>
      </c>
      <c r="H38" s="58" t="s">
        <v>120</v>
      </c>
      <c r="I38" s="58" t="s">
        <v>120</v>
      </c>
      <c r="J38" s="58" t="s">
        <v>121</v>
      </c>
      <c r="K38" s="58" t="s">
        <v>120</v>
      </c>
      <c r="L38" s="58" t="s">
        <v>120</v>
      </c>
      <c r="M38" s="58" t="s">
        <v>120</v>
      </c>
      <c r="N38" s="58" t="s">
        <v>120</v>
      </c>
      <c r="O38" s="58" t="s">
        <v>120</v>
      </c>
      <c r="P38" s="58" t="s">
        <v>121</v>
      </c>
      <c r="Q38" s="58" t="s">
        <v>120</v>
      </c>
      <c r="R38" s="58" t="s">
        <v>120</v>
      </c>
      <c r="S38" s="58" t="s">
        <v>121</v>
      </c>
      <c r="T38" s="58" t="s">
        <v>120</v>
      </c>
      <c r="U38" s="58" t="s">
        <v>120</v>
      </c>
      <c r="V38" s="58" t="s">
        <v>120</v>
      </c>
      <c r="W38" s="58" t="s">
        <v>120</v>
      </c>
      <c r="X38" s="58" t="s">
        <v>120</v>
      </c>
      <c r="Y38" s="58" t="s">
        <v>120</v>
      </c>
      <c r="Z38" s="58" t="s">
        <v>121</v>
      </c>
      <c r="AA38" s="58" t="s">
        <v>120</v>
      </c>
      <c r="AB38" s="58"/>
      <c r="AC38" s="58" t="s">
        <v>120</v>
      </c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62"/>
      <c r="BE38" s="62"/>
      <c r="BF38" s="62"/>
      <c r="BG38" s="56">
        <f t="shared" si="5"/>
        <v>24</v>
      </c>
      <c r="BH38" s="42">
        <f t="shared" si="6"/>
        <v>17</v>
      </c>
      <c r="BI38" s="43">
        <f t="shared" si="7"/>
        <v>0.7083333333</v>
      </c>
      <c r="BJ38" s="44">
        <f t="shared" si="8"/>
        <v>7</v>
      </c>
      <c r="BK38" s="42">
        <f t="shared" si="9"/>
        <v>0</v>
      </c>
      <c r="BL38" s="63"/>
      <c r="BM38" s="28"/>
      <c r="BN38" s="28"/>
      <c r="BO38" s="28"/>
    </row>
    <row r="39">
      <c r="A39" s="14">
        <f t="shared" si="2"/>
        <v>36</v>
      </c>
      <c r="B39" s="68">
        <f t="shared" si="3"/>
        <v>45839</v>
      </c>
      <c r="C39" s="48">
        <v>45844.0</v>
      </c>
      <c r="D39" s="49">
        <f t="shared" si="4"/>
        <v>45844</v>
      </c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70"/>
      <c r="AB39" s="70"/>
      <c r="AC39" s="70"/>
      <c r="AD39" s="70"/>
      <c r="AE39" s="70"/>
      <c r="AF39" s="70"/>
      <c r="AG39" s="70"/>
      <c r="AH39" s="64"/>
      <c r="AI39" s="64"/>
      <c r="AJ39" s="64"/>
      <c r="AK39" s="64"/>
      <c r="AL39" s="64"/>
      <c r="AM39" s="64"/>
      <c r="AN39" s="64"/>
      <c r="AO39" s="64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64"/>
      <c r="BE39" s="64"/>
      <c r="BF39" s="64"/>
      <c r="BG39" s="56">
        <f t="shared" si="5"/>
        <v>0</v>
      </c>
      <c r="BH39" s="42">
        <f t="shared" si="6"/>
        <v>0</v>
      </c>
      <c r="BI39" s="43" t="str">
        <f t="shared" si="7"/>
        <v>#DIV/0!</v>
      </c>
      <c r="BJ39" s="44">
        <f t="shared" si="8"/>
        <v>0</v>
      </c>
      <c r="BK39" s="42">
        <f t="shared" si="9"/>
        <v>0</v>
      </c>
      <c r="BL39" s="63"/>
      <c r="BM39" s="28"/>
      <c r="BN39" s="28"/>
      <c r="BO39" s="28"/>
    </row>
    <row r="40">
      <c r="A40" s="14">
        <f t="shared" si="2"/>
        <v>37</v>
      </c>
      <c r="B40" s="68">
        <f t="shared" si="3"/>
        <v>45839</v>
      </c>
      <c r="C40" s="48">
        <v>45845.0</v>
      </c>
      <c r="D40" s="57">
        <f t="shared" si="4"/>
        <v>45845</v>
      </c>
      <c r="E40" s="58" t="s">
        <v>121</v>
      </c>
      <c r="F40" s="58" t="s">
        <v>120</v>
      </c>
      <c r="G40" s="58" t="s">
        <v>120</v>
      </c>
      <c r="H40" s="58" t="s">
        <v>120</v>
      </c>
      <c r="I40" s="58" t="s">
        <v>120</v>
      </c>
      <c r="J40" s="58" t="s">
        <v>120</v>
      </c>
      <c r="K40" s="58" t="s">
        <v>120</v>
      </c>
      <c r="L40" s="58" t="s">
        <v>120</v>
      </c>
      <c r="M40" s="58" t="s">
        <v>120</v>
      </c>
      <c r="N40" s="58" t="s">
        <v>120</v>
      </c>
      <c r="O40" s="58" t="s">
        <v>120</v>
      </c>
      <c r="P40" s="58" t="s">
        <v>121</v>
      </c>
      <c r="Q40" s="58" t="s">
        <v>120</v>
      </c>
      <c r="R40" s="58" t="s">
        <v>120</v>
      </c>
      <c r="S40" s="58" t="s">
        <v>121</v>
      </c>
      <c r="T40" s="58" t="s">
        <v>120</v>
      </c>
      <c r="U40" s="58" t="s">
        <v>120</v>
      </c>
      <c r="V40" s="58" t="s">
        <v>120</v>
      </c>
      <c r="W40" s="58" t="s">
        <v>120</v>
      </c>
      <c r="X40" s="58" t="s">
        <v>121</v>
      </c>
      <c r="Y40" s="58" t="s">
        <v>120</v>
      </c>
      <c r="Z40" s="58" t="s">
        <v>120</v>
      </c>
      <c r="AA40" s="59" t="s">
        <v>120</v>
      </c>
      <c r="AB40" s="58"/>
      <c r="AC40" s="58" t="s">
        <v>120</v>
      </c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62"/>
      <c r="BE40" s="62"/>
      <c r="BF40" s="62"/>
      <c r="BG40" s="56">
        <f t="shared" si="5"/>
        <v>24</v>
      </c>
      <c r="BH40" s="42">
        <f t="shared" si="6"/>
        <v>20</v>
      </c>
      <c r="BI40" s="43">
        <f t="shared" si="7"/>
        <v>0.8333333333</v>
      </c>
      <c r="BJ40" s="44">
        <f t="shared" si="8"/>
        <v>4</v>
      </c>
      <c r="BK40" s="42">
        <f t="shared" si="9"/>
        <v>0</v>
      </c>
      <c r="BL40" s="63"/>
      <c r="BM40" s="28"/>
      <c r="BN40" s="28"/>
      <c r="BO40" s="28"/>
    </row>
    <row r="41">
      <c r="A41" s="14">
        <f t="shared" si="2"/>
        <v>38</v>
      </c>
      <c r="B41" s="68">
        <f t="shared" si="3"/>
        <v>45839</v>
      </c>
      <c r="C41" s="48">
        <v>45846.0</v>
      </c>
      <c r="D41" s="57">
        <f t="shared" si="4"/>
        <v>45846</v>
      </c>
      <c r="E41" s="58" t="s">
        <v>121</v>
      </c>
      <c r="F41" s="58" t="s">
        <v>120</v>
      </c>
      <c r="G41" s="58" t="s">
        <v>121</v>
      </c>
      <c r="H41" s="58" t="s">
        <v>120</v>
      </c>
      <c r="I41" s="58" t="s">
        <v>120</v>
      </c>
      <c r="J41" s="58" t="s">
        <v>120</v>
      </c>
      <c r="K41" s="58" t="s">
        <v>120</v>
      </c>
      <c r="L41" s="58" t="s">
        <v>121</v>
      </c>
      <c r="M41" s="58" t="s">
        <v>120</v>
      </c>
      <c r="N41" s="58" t="s">
        <v>120</v>
      </c>
      <c r="O41" s="58" t="s">
        <v>120</v>
      </c>
      <c r="P41" s="58" t="s">
        <v>120</v>
      </c>
      <c r="Q41" s="58" t="s">
        <v>121</v>
      </c>
      <c r="R41" s="58" t="s">
        <v>120</v>
      </c>
      <c r="S41" s="58" t="s">
        <v>120</v>
      </c>
      <c r="T41" s="58" t="s">
        <v>121</v>
      </c>
      <c r="U41" s="58" t="s">
        <v>120</v>
      </c>
      <c r="V41" s="58" t="s">
        <v>120</v>
      </c>
      <c r="W41" s="58" t="s">
        <v>120</v>
      </c>
      <c r="X41" s="58" t="s">
        <v>120</v>
      </c>
      <c r="Y41" s="58" t="s">
        <v>121</v>
      </c>
      <c r="Z41" s="58" t="s">
        <v>120</v>
      </c>
      <c r="AA41" s="59" t="s">
        <v>120</v>
      </c>
      <c r="AB41" s="58"/>
      <c r="AC41" s="58" t="s">
        <v>120</v>
      </c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62"/>
      <c r="BE41" s="62"/>
      <c r="BF41" s="62"/>
      <c r="BG41" s="56">
        <f t="shared" si="5"/>
        <v>24</v>
      </c>
      <c r="BH41" s="42">
        <f t="shared" si="6"/>
        <v>18</v>
      </c>
      <c r="BI41" s="43">
        <f t="shared" si="7"/>
        <v>0.75</v>
      </c>
      <c r="BJ41" s="44">
        <f t="shared" si="8"/>
        <v>6</v>
      </c>
      <c r="BK41" s="42">
        <f t="shared" si="9"/>
        <v>0</v>
      </c>
      <c r="BL41" s="63"/>
      <c r="BM41" s="28"/>
      <c r="BN41" s="28"/>
      <c r="BO41" s="28"/>
    </row>
    <row r="42">
      <c r="A42" s="14">
        <f t="shared" si="2"/>
        <v>39</v>
      </c>
      <c r="B42" s="68">
        <f t="shared" si="3"/>
        <v>45839</v>
      </c>
      <c r="C42" s="48">
        <v>45847.0</v>
      </c>
      <c r="D42" s="57">
        <f t="shared" si="4"/>
        <v>45847</v>
      </c>
      <c r="E42" s="58" t="s">
        <v>121</v>
      </c>
      <c r="F42" s="58" t="s">
        <v>120</v>
      </c>
      <c r="G42" s="58" t="s">
        <v>120</v>
      </c>
      <c r="H42" s="58" t="s">
        <v>120</v>
      </c>
      <c r="I42" s="58" t="s">
        <v>120</v>
      </c>
      <c r="J42" s="58" t="s">
        <v>120</v>
      </c>
      <c r="K42" s="58" t="s">
        <v>120</v>
      </c>
      <c r="L42" s="58" t="s">
        <v>120</v>
      </c>
      <c r="M42" s="58" t="s">
        <v>120</v>
      </c>
      <c r="N42" s="58" t="s">
        <v>120</v>
      </c>
      <c r="O42" s="58" t="s">
        <v>120</v>
      </c>
      <c r="P42" s="58" t="s">
        <v>120</v>
      </c>
      <c r="Q42" s="58" t="s">
        <v>121</v>
      </c>
      <c r="R42" s="58" t="s">
        <v>120</v>
      </c>
      <c r="S42" s="58" t="s">
        <v>120</v>
      </c>
      <c r="T42" s="58" t="s">
        <v>120</v>
      </c>
      <c r="U42" s="58" t="s">
        <v>120</v>
      </c>
      <c r="V42" s="58" t="s">
        <v>120</v>
      </c>
      <c r="W42" s="58" t="s">
        <v>120</v>
      </c>
      <c r="X42" s="58" t="s">
        <v>120</v>
      </c>
      <c r="Y42" s="58" t="s">
        <v>120</v>
      </c>
      <c r="Z42" s="58" t="s">
        <v>120</v>
      </c>
      <c r="AA42" s="59" t="s">
        <v>120</v>
      </c>
      <c r="AB42" s="58"/>
      <c r="AC42" s="58" t="s">
        <v>121</v>
      </c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62"/>
      <c r="BE42" s="62"/>
      <c r="BF42" s="62"/>
      <c r="BG42" s="56">
        <f t="shared" si="5"/>
        <v>24</v>
      </c>
      <c r="BH42" s="42">
        <f t="shared" si="6"/>
        <v>21</v>
      </c>
      <c r="BI42" s="43">
        <f t="shared" si="7"/>
        <v>0.875</v>
      </c>
      <c r="BJ42" s="44">
        <f t="shared" si="8"/>
        <v>3</v>
      </c>
      <c r="BK42" s="42">
        <f t="shared" si="9"/>
        <v>0</v>
      </c>
      <c r="BL42" s="63"/>
      <c r="BM42" s="28"/>
      <c r="BN42" s="28"/>
      <c r="BO42" s="28"/>
    </row>
    <row r="43">
      <c r="A43" s="14">
        <f t="shared" si="2"/>
        <v>40</v>
      </c>
      <c r="B43" s="68">
        <f t="shared" si="3"/>
        <v>45839</v>
      </c>
      <c r="C43" s="48">
        <v>45848.0</v>
      </c>
      <c r="D43" s="57">
        <f t="shared" si="4"/>
        <v>45848</v>
      </c>
      <c r="E43" s="58" t="s">
        <v>121</v>
      </c>
      <c r="F43" s="58" t="s">
        <v>120</v>
      </c>
      <c r="G43" s="58" t="s">
        <v>120</v>
      </c>
      <c r="H43" s="58" t="s">
        <v>120</v>
      </c>
      <c r="I43" s="58" t="s">
        <v>120</v>
      </c>
      <c r="J43" s="58" t="s">
        <v>120</v>
      </c>
      <c r="K43" s="58" t="s">
        <v>120</v>
      </c>
      <c r="L43" s="58" t="s">
        <v>120</v>
      </c>
      <c r="M43" s="58" t="s">
        <v>120</v>
      </c>
      <c r="N43" s="58" t="s">
        <v>120</v>
      </c>
      <c r="O43" s="58" t="s">
        <v>120</v>
      </c>
      <c r="P43" s="58" t="s">
        <v>120</v>
      </c>
      <c r="Q43" s="58" t="s">
        <v>121</v>
      </c>
      <c r="R43" s="58" t="s">
        <v>121</v>
      </c>
      <c r="S43" s="58" t="s">
        <v>120</v>
      </c>
      <c r="T43" s="58" t="s">
        <v>120</v>
      </c>
      <c r="U43" s="58" t="s">
        <v>120</v>
      </c>
      <c r="V43" s="58" t="s">
        <v>120</v>
      </c>
      <c r="W43" s="58" t="s">
        <v>120</v>
      </c>
      <c r="X43" s="58" t="s">
        <v>121</v>
      </c>
      <c r="Y43" s="58" t="s">
        <v>120</v>
      </c>
      <c r="Z43" s="58" t="s">
        <v>120</v>
      </c>
      <c r="AA43" s="59" t="s">
        <v>120</v>
      </c>
      <c r="AB43" s="61"/>
      <c r="AC43" s="58" t="s">
        <v>120</v>
      </c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62"/>
      <c r="BE43" s="62"/>
      <c r="BF43" s="62"/>
      <c r="BG43" s="56">
        <f t="shared" si="5"/>
        <v>24</v>
      </c>
      <c r="BH43" s="42">
        <f t="shared" si="6"/>
        <v>20</v>
      </c>
      <c r="BI43" s="43">
        <f t="shared" si="7"/>
        <v>0.8333333333</v>
      </c>
      <c r="BJ43" s="44">
        <f t="shared" si="8"/>
        <v>4</v>
      </c>
      <c r="BK43" s="42">
        <f t="shared" si="9"/>
        <v>0</v>
      </c>
      <c r="BL43" s="63"/>
      <c r="BM43" s="28"/>
      <c r="BN43" s="28"/>
      <c r="BO43" s="28"/>
    </row>
    <row r="44">
      <c r="A44" s="14">
        <f t="shared" si="2"/>
        <v>41</v>
      </c>
      <c r="B44" s="68">
        <f t="shared" si="3"/>
        <v>45839</v>
      </c>
      <c r="C44" s="48">
        <v>45849.0</v>
      </c>
      <c r="D44" s="57">
        <f t="shared" si="4"/>
        <v>45849</v>
      </c>
      <c r="E44" s="58" t="s">
        <v>120</v>
      </c>
      <c r="F44" s="58" t="s">
        <v>121</v>
      </c>
      <c r="G44" s="58" t="s">
        <v>121</v>
      </c>
      <c r="H44" s="58" t="s">
        <v>121</v>
      </c>
      <c r="I44" s="58" t="s">
        <v>120</v>
      </c>
      <c r="J44" s="58" t="s">
        <v>120</v>
      </c>
      <c r="K44" s="58" t="s">
        <v>120</v>
      </c>
      <c r="L44" s="58" t="s">
        <v>120</v>
      </c>
      <c r="M44" s="58" t="s">
        <v>120</v>
      </c>
      <c r="N44" s="58" t="s">
        <v>120</v>
      </c>
      <c r="O44" s="58" t="s">
        <v>120</v>
      </c>
      <c r="P44" s="58" t="s">
        <v>120</v>
      </c>
      <c r="Q44" s="58" t="s">
        <v>120</v>
      </c>
      <c r="R44" s="58" t="s">
        <v>120</v>
      </c>
      <c r="S44" s="58" t="s">
        <v>121</v>
      </c>
      <c r="T44" s="58" t="s">
        <v>120</v>
      </c>
      <c r="U44" s="58" t="s">
        <v>121</v>
      </c>
      <c r="V44" s="58" t="s">
        <v>120</v>
      </c>
      <c r="W44" s="58" t="s">
        <v>120</v>
      </c>
      <c r="X44" s="58" t="s">
        <v>120</v>
      </c>
      <c r="Y44" s="58" t="s">
        <v>120</v>
      </c>
      <c r="Z44" s="58" t="s">
        <v>121</v>
      </c>
      <c r="AA44" s="59" t="s">
        <v>120</v>
      </c>
      <c r="AB44" s="58"/>
      <c r="AC44" s="58" t="s">
        <v>121</v>
      </c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62"/>
      <c r="BE44" s="62"/>
      <c r="BF44" s="62"/>
      <c r="BG44" s="56">
        <f t="shared" si="5"/>
        <v>24</v>
      </c>
      <c r="BH44" s="42">
        <f t="shared" si="6"/>
        <v>17</v>
      </c>
      <c r="BI44" s="43">
        <f t="shared" si="7"/>
        <v>0.7083333333</v>
      </c>
      <c r="BJ44" s="44">
        <f t="shared" si="8"/>
        <v>7</v>
      </c>
      <c r="BK44" s="42">
        <f t="shared" si="9"/>
        <v>0</v>
      </c>
      <c r="BL44" s="63"/>
      <c r="BM44" s="28"/>
      <c r="BN44" s="28"/>
      <c r="BO44" s="28"/>
    </row>
    <row r="45">
      <c r="A45" s="14">
        <f t="shared" si="2"/>
        <v>42</v>
      </c>
      <c r="B45" s="68">
        <f t="shared" si="3"/>
        <v>45839</v>
      </c>
      <c r="C45" s="48">
        <v>45850.0</v>
      </c>
      <c r="D45" s="57">
        <f t="shared" si="4"/>
        <v>45850</v>
      </c>
      <c r="E45" s="58" t="s">
        <v>121</v>
      </c>
      <c r="F45" s="58" t="s">
        <v>120</v>
      </c>
      <c r="G45" s="58" t="s">
        <v>120</v>
      </c>
      <c r="H45" s="58" t="s">
        <v>121</v>
      </c>
      <c r="I45" s="58" t="s">
        <v>120</v>
      </c>
      <c r="J45" s="58" t="s">
        <v>120</v>
      </c>
      <c r="K45" s="58" t="s">
        <v>120</v>
      </c>
      <c r="L45" s="58" t="s">
        <v>120</v>
      </c>
      <c r="M45" s="58" t="s">
        <v>120</v>
      </c>
      <c r="N45" s="58" t="s">
        <v>120</v>
      </c>
      <c r="O45" s="58" t="s">
        <v>120</v>
      </c>
      <c r="P45" s="58" t="s">
        <v>120</v>
      </c>
      <c r="Q45" s="58" t="s">
        <v>121</v>
      </c>
      <c r="R45" s="58" t="s">
        <v>120</v>
      </c>
      <c r="S45" s="58" t="s">
        <v>120</v>
      </c>
      <c r="T45" s="58" t="s">
        <v>120</v>
      </c>
      <c r="U45" s="58" t="s">
        <v>120</v>
      </c>
      <c r="V45" s="58" t="s">
        <v>120</v>
      </c>
      <c r="W45" s="58" t="s">
        <v>120</v>
      </c>
      <c r="X45" s="58" t="s">
        <v>120</v>
      </c>
      <c r="Y45" s="58" t="s">
        <v>120</v>
      </c>
      <c r="Z45" s="58" t="s">
        <v>120</v>
      </c>
      <c r="AA45" s="59" t="s">
        <v>120</v>
      </c>
      <c r="AB45" s="58"/>
      <c r="AC45" s="58" t="s">
        <v>121</v>
      </c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62"/>
      <c r="BE45" s="62"/>
      <c r="BF45" s="62"/>
      <c r="BG45" s="56">
        <f t="shared" si="5"/>
        <v>24</v>
      </c>
      <c r="BH45" s="42">
        <f t="shared" si="6"/>
        <v>20</v>
      </c>
      <c r="BI45" s="43">
        <f t="shared" si="7"/>
        <v>0.8333333333</v>
      </c>
      <c r="BJ45" s="44">
        <f t="shared" si="8"/>
        <v>4</v>
      </c>
      <c r="BK45" s="42">
        <f t="shared" si="9"/>
        <v>0</v>
      </c>
      <c r="BL45" s="63"/>
      <c r="BM45" s="28"/>
      <c r="BN45" s="28"/>
      <c r="BO45" s="28"/>
    </row>
    <row r="46">
      <c r="A46" s="14">
        <f t="shared" si="2"/>
        <v>43</v>
      </c>
      <c r="B46" s="68">
        <f t="shared" si="3"/>
        <v>45839</v>
      </c>
      <c r="C46" s="48">
        <v>45851.0</v>
      </c>
      <c r="D46" s="49">
        <f t="shared" si="4"/>
        <v>45851</v>
      </c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6"/>
      <c r="AI46" s="66"/>
      <c r="AJ46" s="66"/>
      <c r="AK46" s="66"/>
      <c r="AL46" s="66"/>
      <c r="AM46" s="66"/>
      <c r="AN46" s="66"/>
      <c r="AO46" s="66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64"/>
      <c r="BE46" s="64"/>
      <c r="BF46" s="64"/>
      <c r="BG46" s="56">
        <f t="shared" si="5"/>
        <v>0</v>
      </c>
      <c r="BH46" s="42">
        <f t="shared" si="6"/>
        <v>0</v>
      </c>
      <c r="BI46" s="43" t="str">
        <f t="shared" si="7"/>
        <v>#DIV/0!</v>
      </c>
      <c r="BJ46" s="44">
        <f t="shared" si="8"/>
        <v>0</v>
      </c>
      <c r="BK46" s="42">
        <f t="shared" si="9"/>
        <v>0</v>
      </c>
      <c r="BL46" s="63"/>
      <c r="BM46" s="28"/>
      <c r="BN46" s="28"/>
      <c r="BO46" s="28"/>
    </row>
    <row r="47">
      <c r="A47" s="14">
        <f t="shared" si="2"/>
        <v>44</v>
      </c>
      <c r="B47" s="68">
        <f t="shared" si="3"/>
        <v>45839</v>
      </c>
      <c r="C47" s="48">
        <v>45852.0</v>
      </c>
      <c r="D47" s="57">
        <f t="shared" si="4"/>
        <v>45852</v>
      </c>
      <c r="E47" s="58" t="s">
        <v>120</v>
      </c>
      <c r="F47" s="58" t="s">
        <v>120</v>
      </c>
      <c r="G47" s="58" t="s">
        <v>121</v>
      </c>
      <c r="H47" s="58" t="s">
        <v>121</v>
      </c>
      <c r="I47" s="58" t="s">
        <v>121</v>
      </c>
      <c r="J47" s="58" t="s">
        <v>121</v>
      </c>
      <c r="K47" s="58" t="s">
        <v>121</v>
      </c>
      <c r="L47" s="58" t="s">
        <v>121</v>
      </c>
      <c r="M47" s="58" t="s">
        <v>120</v>
      </c>
      <c r="N47" s="58" t="s">
        <v>120</v>
      </c>
      <c r="O47" s="58" t="s">
        <v>120</v>
      </c>
      <c r="P47" s="58" t="s">
        <v>121</v>
      </c>
      <c r="Q47" s="58" t="s">
        <v>121</v>
      </c>
      <c r="R47" s="58" t="s">
        <v>120</v>
      </c>
      <c r="S47" s="58" t="s">
        <v>120</v>
      </c>
      <c r="T47" s="58" t="s">
        <v>120</v>
      </c>
      <c r="U47" s="58" t="s">
        <v>120</v>
      </c>
      <c r="V47" s="58" t="s">
        <v>120</v>
      </c>
      <c r="W47" s="58" t="s">
        <v>121</v>
      </c>
      <c r="X47" s="58" t="s">
        <v>120</v>
      </c>
      <c r="Y47" s="58" t="s">
        <v>120</v>
      </c>
      <c r="Z47" s="58" t="s">
        <v>120</v>
      </c>
      <c r="AA47" s="58" t="s">
        <v>120</v>
      </c>
      <c r="AB47" s="58"/>
      <c r="AC47" s="58" t="s">
        <v>120</v>
      </c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61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62"/>
      <c r="BE47" s="62"/>
      <c r="BF47" s="62"/>
      <c r="BG47" s="56">
        <f t="shared" si="5"/>
        <v>24</v>
      </c>
      <c r="BH47" s="42">
        <f t="shared" si="6"/>
        <v>15</v>
      </c>
      <c r="BI47" s="43">
        <f t="shared" si="7"/>
        <v>0.625</v>
      </c>
      <c r="BJ47" s="44">
        <f t="shared" si="8"/>
        <v>9</v>
      </c>
      <c r="BK47" s="42">
        <f t="shared" si="9"/>
        <v>0</v>
      </c>
      <c r="BL47" s="63"/>
      <c r="BM47" s="28"/>
      <c r="BN47" s="28"/>
      <c r="BO47" s="28"/>
    </row>
    <row r="48">
      <c r="A48" s="14">
        <f t="shared" si="2"/>
        <v>45</v>
      </c>
      <c r="B48" s="68">
        <f t="shared" si="3"/>
        <v>45839</v>
      </c>
      <c r="C48" s="48">
        <v>45853.0</v>
      </c>
      <c r="D48" s="57">
        <f t="shared" si="4"/>
        <v>45853</v>
      </c>
      <c r="E48" s="58" t="s">
        <v>121</v>
      </c>
      <c r="F48" s="58" t="s">
        <v>120</v>
      </c>
      <c r="G48" s="58" t="s">
        <v>120</v>
      </c>
      <c r="H48" s="58" t="s">
        <v>121</v>
      </c>
      <c r="I48" s="58" t="s">
        <v>120</v>
      </c>
      <c r="J48" s="58" t="s">
        <v>120</v>
      </c>
      <c r="K48" s="58" t="s">
        <v>121</v>
      </c>
      <c r="L48" s="58" t="s">
        <v>120</v>
      </c>
      <c r="M48" s="58" t="s">
        <v>120</v>
      </c>
      <c r="N48" s="58" t="s">
        <v>120</v>
      </c>
      <c r="O48" s="58" t="s">
        <v>120</v>
      </c>
      <c r="P48" s="58" t="s">
        <v>121</v>
      </c>
      <c r="Q48" s="58" t="s">
        <v>121</v>
      </c>
      <c r="R48" s="58" t="s">
        <v>120</v>
      </c>
      <c r="S48" s="58" t="s">
        <v>120</v>
      </c>
      <c r="T48" s="58" t="s">
        <v>120</v>
      </c>
      <c r="U48" s="58" t="s">
        <v>120</v>
      </c>
      <c r="V48" s="58" t="s">
        <v>120</v>
      </c>
      <c r="W48" s="58" t="s">
        <v>121</v>
      </c>
      <c r="X48" s="58" t="s">
        <v>120</v>
      </c>
      <c r="Y48" s="58" t="s">
        <v>120</v>
      </c>
      <c r="Z48" s="58" t="s">
        <v>120</v>
      </c>
      <c r="AA48" s="58" t="s">
        <v>120</v>
      </c>
      <c r="AB48" s="58"/>
      <c r="AC48" s="58" t="s">
        <v>121</v>
      </c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62"/>
      <c r="BE48" s="62"/>
      <c r="BF48" s="62"/>
      <c r="BG48" s="56">
        <f t="shared" si="5"/>
        <v>24</v>
      </c>
      <c r="BH48" s="42">
        <f t="shared" si="6"/>
        <v>17</v>
      </c>
      <c r="BI48" s="43">
        <f t="shared" si="7"/>
        <v>0.7083333333</v>
      </c>
      <c r="BJ48" s="44">
        <f t="shared" si="8"/>
        <v>7</v>
      </c>
      <c r="BK48" s="42">
        <f t="shared" si="9"/>
        <v>0</v>
      </c>
      <c r="BL48" s="63"/>
      <c r="BM48" s="28"/>
      <c r="BN48" s="28"/>
      <c r="BO48" s="28"/>
    </row>
    <row r="49">
      <c r="A49" s="14">
        <f t="shared" si="2"/>
        <v>46</v>
      </c>
      <c r="B49" s="68">
        <f t="shared" si="3"/>
        <v>45839</v>
      </c>
      <c r="C49" s="48">
        <v>45854.0</v>
      </c>
      <c r="D49" s="57">
        <f t="shared" si="4"/>
        <v>45854</v>
      </c>
      <c r="E49" s="58" t="s">
        <v>121</v>
      </c>
      <c r="F49" s="58" t="s">
        <v>120</v>
      </c>
      <c r="G49" s="58" t="s">
        <v>120</v>
      </c>
      <c r="H49" s="58" t="s">
        <v>121</v>
      </c>
      <c r="I49" s="58" t="s">
        <v>120</v>
      </c>
      <c r="J49" s="58" t="s">
        <v>120</v>
      </c>
      <c r="K49" s="58" t="s">
        <v>121</v>
      </c>
      <c r="L49" s="58" t="s">
        <v>120</v>
      </c>
      <c r="M49" s="58" t="s">
        <v>120</v>
      </c>
      <c r="N49" s="58" t="s">
        <v>120</v>
      </c>
      <c r="O49" s="58" t="s">
        <v>120</v>
      </c>
      <c r="P49" s="58" t="s">
        <v>121</v>
      </c>
      <c r="Q49" s="58" t="s">
        <v>121</v>
      </c>
      <c r="R49" s="58" t="s">
        <v>120</v>
      </c>
      <c r="S49" s="58" t="s">
        <v>120</v>
      </c>
      <c r="T49" s="58" t="s">
        <v>120</v>
      </c>
      <c r="U49" s="58" t="s">
        <v>120</v>
      </c>
      <c r="V49" s="58" t="s">
        <v>120</v>
      </c>
      <c r="W49" s="58" t="s">
        <v>121</v>
      </c>
      <c r="X49" s="58" t="s">
        <v>120</v>
      </c>
      <c r="Y49" s="58" t="s">
        <v>120</v>
      </c>
      <c r="Z49" s="58" t="s">
        <v>121</v>
      </c>
      <c r="AA49" s="58" t="s">
        <v>120</v>
      </c>
      <c r="AB49" s="58"/>
      <c r="AC49" s="58" t="s">
        <v>121</v>
      </c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62"/>
      <c r="BE49" s="62"/>
      <c r="BF49" s="62"/>
      <c r="BG49" s="56">
        <f t="shared" si="5"/>
        <v>24</v>
      </c>
      <c r="BH49" s="42">
        <f t="shared" si="6"/>
        <v>16</v>
      </c>
      <c r="BI49" s="43">
        <f t="shared" si="7"/>
        <v>0.6666666667</v>
      </c>
      <c r="BJ49" s="44">
        <f t="shared" si="8"/>
        <v>8</v>
      </c>
      <c r="BK49" s="42">
        <f t="shared" si="9"/>
        <v>0</v>
      </c>
      <c r="BL49" s="63"/>
      <c r="BM49" s="28"/>
      <c r="BN49" s="28"/>
      <c r="BO49" s="28"/>
    </row>
    <row r="50">
      <c r="A50" s="14">
        <f t="shared" si="2"/>
        <v>47</v>
      </c>
      <c r="B50" s="68">
        <f t="shared" si="3"/>
        <v>45839</v>
      </c>
      <c r="C50" s="48">
        <v>45855.0</v>
      </c>
      <c r="D50" s="57">
        <f t="shared" si="4"/>
        <v>45855</v>
      </c>
      <c r="E50" s="58" t="s">
        <v>121</v>
      </c>
      <c r="F50" s="58" t="s">
        <v>120</v>
      </c>
      <c r="G50" s="58" t="s">
        <v>120</v>
      </c>
      <c r="H50" s="58" t="s">
        <v>121</v>
      </c>
      <c r="I50" s="58" t="s">
        <v>120</v>
      </c>
      <c r="J50" s="58" t="s">
        <v>120</v>
      </c>
      <c r="K50" s="58" t="s">
        <v>121</v>
      </c>
      <c r="L50" s="58" t="s">
        <v>120</v>
      </c>
      <c r="M50" s="58" t="s">
        <v>120</v>
      </c>
      <c r="N50" s="58" t="s">
        <v>120</v>
      </c>
      <c r="O50" s="58" t="s">
        <v>120</v>
      </c>
      <c r="P50" s="58" t="s">
        <v>121</v>
      </c>
      <c r="Q50" s="58" t="s">
        <v>121</v>
      </c>
      <c r="R50" s="58" t="s">
        <v>120</v>
      </c>
      <c r="S50" s="58" t="s">
        <v>120</v>
      </c>
      <c r="T50" s="58" t="s">
        <v>120</v>
      </c>
      <c r="U50" s="58" t="s">
        <v>120</v>
      </c>
      <c r="V50" s="58" t="s">
        <v>120</v>
      </c>
      <c r="W50" s="58" t="s">
        <v>121</v>
      </c>
      <c r="X50" s="58" t="s">
        <v>120</v>
      </c>
      <c r="Y50" s="58" t="s">
        <v>120</v>
      </c>
      <c r="Z50" s="58" t="s">
        <v>120</v>
      </c>
      <c r="AA50" s="58" t="s">
        <v>120</v>
      </c>
      <c r="AB50" s="58"/>
      <c r="AC50" s="58" t="s">
        <v>121</v>
      </c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62"/>
      <c r="BE50" s="62"/>
      <c r="BF50" s="62"/>
      <c r="BG50" s="56">
        <f t="shared" si="5"/>
        <v>24</v>
      </c>
      <c r="BH50" s="42">
        <f t="shared" si="6"/>
        <v>17</v>
      </c>
      <c r="BI50" s="43">
        <f t="shared" si="7"/>
        <v>0.7083333333</v>
      </c>
      <c r="BJ50" s="44">
        <f t="shared" si="8"/>
        <v>7</v>
      </c>
      <c r="BK50" s="42">
        <f t="shared" si="9"/>
        <v>0</v>
      </c>
      <c r="BL50" s="63"/>
      <c r="BM50" s="28"/>
      <c r="BN50" s="28"/>
      <c r="BO50" s="28"/>
    </row>
    <row r="51">
      <c r="A51" s="14">
        <f t="shared" si="2"/>
        <v>48</v>
      </c>
      <c r="B51" s="68">
        <f t="shared" si="3"/>
        <v>45839</v>
      </c>
      <c r="C51" s="48">
        <v>45856.0</v>
      </c>
      <c r="D51" s="57">
        <f t="shared" si="4"/>
        <v>45856</v>
      </c>
      <c r="E51" s="58" t="s">
        <v>121</v>
      </c>
      <c r="F51" s="58" t="s">
        <v>120</v>
      </c>
      <c r="G51" s="58" t="s">
        <v>120</v>
      </c>
      <c r="H51" s="58" t="s">
        <v>121</v>
      </c>
      <c r="I51" s="58" t="s">
        <v>120</v>
      </c>
      <c r="J51" s="58" t="s">
        <v>120</v>
      </c>
      <c r="K51" s="58" t="s">
        <v>120</v>
      </c>
      <c r="L51" s="58" t="s">
        <v>120</v>
      </c>
      <c r="M51" s="58" t="s">
        <v>120</v>
      </c>
      <c r="N51" s="58" t="s">
        <v>120</v>
      </c>
      <c r="O51" s="58" t="s">
        <v>120</v>
      </c>
      <c r="P51" s="58" t="s">
        <v>120</v>
      </c>
      <c r="Q51" s="58" t="s">
        <v>120</v>
      </c>
      <c r="R51" s="58" t="s">
        <v>120</v>
      </c>
      <c r="S51" s="58" t="s">
        <v>120</v>
      </c>
      <c r="T51" s="58" t="s">
        <v>120</v>
      </c>
      <c r="U51" s="58" t="s">
        <v>120</v>
      </c>
      <c r="V51" s="58" t="s">
        <v>120</v>
      </c>
      <c r="W51" s="58" t="s">
        <v>120</v>
      </c>
      <c r="X51" s="58" t="s">
        <v>120</v>
      </c>
      <c r="Y51" s="58" t="s">
        <v>120</v>
      </c>
      <c r="Z51" s="71" t="s">
        <v>124</v>
      </c>
      <c r="AA51" s="58" t="s">
        <v>120</v>
      </c>
      <c r="AB51" s="72"/>
      <c r="AC51" s="58" t="s">
        <v>120</v>
      </c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62"/>
      <c r="BE51" s="62"/>
      <c r="BF51" s="62"/>
      <c r="BG51" s="56">
        <f t="shared" si="5"/>
        <v>24</v>
      </c>
      <c r="BH51" s="42">
        <f t="shared" si="6"/>
        <v>22</v>
      </c>
      <c r="BI51" s="43">
        <f t="shared" si="7"/>
        <v>0.9166666667</v>
      </c>
      <c r="BJ51" s="44">
        <f t="shared" si="8"/>
        <v>2</v>
      </c>
      <c r="BK51" s="42">
        <f t="shared" si="9"/>
        <v>0</v>
      </c>
      <c r="BL51" s="63"/>
      <c r="BM51" s="28"/>
      <c r="BN51" s="28"/>
      <c r="BO51" s="28"/>
    </row>
    <row r="52">
      <c r="A52" s="14">
        <f t="shared" si="2"/>
        <v>49</v>
      </c>
      <c r="B52" s="68">
        <f t="shared" si="3"/>
        <v>45839</v>
      </c>
      <c r="C52" s="48">
        <v>45857.0</v>
      </c>
      <c r="D52" s="57">
        <f t="shared" si="4"/>
        <v>45857</v>
      </c>
      <c r="E52" s="58" t="s">
        <v>122</v>
      </c>
      <c r="F52" s="58" t="s">
        <v>122</v>
      </c>
      <c r="G52" s="58" t="s">
        <v>122</v>
      </c>
      <c r="H52" s="58" t="s">
        <v>122</v>
      </c>
      <c r="I52" s="58" t="s">
        <v>122</v>
      </c>
      <c r="J52" s="58" t="s">
        <v>122</v>
      </c>
      <c r="K52" s="58" t="s">
        <v>122</v>
      </c>
      <c r="L52" s="58" t="s">
        <v>122</v>
      </c>
      <c r="M52" s="58" t="s">
        <v>122</v>
      </c>
      <c r="N52" s="58" t="s">
        <v>122</v>
      </c>
      <c r="O52" s="58" t="s">
        <v>122</v>
      </c>
      <c r="P52" s="58" t="s">
        <v>122</v>
      </c>
      <c r="Q52" s="58" t="s">
        <v>122</v>
      </c>
      <c r="R52" s="58" t="s">
        <v>122</v>
      </c>
      <c r="S52" s="58" t="s">
        <v>122</v>
      </c>
      <c r="T52" s="58" t="s">
        <v>122</v>
      </c>
      <c r="U52" s="58" t="s">
        <v>122</v>
      </c>
      <c r="V52" s="58" t="s">
        <v>122</v>
      </c>
      <c r="W52" s="58" t="s">
        <v>122</v>
      </c>
      <c r="X52" s="58" t="s">
        <v>122</v>
      </c>
      <c r="Y52" s="58" t="s">
        <v>122</v>
      </c>
      <c r="Z52" s="58" t="s">
        <v>122</v>
      </c>
      <c r="AA52" s="58" t="s">
        <v>122</v>
      </c>
      <c r="AB52" s="58" t="s">
        <v>122</v>
      </c>
      <c r="AC52" s="58" t="s">
        <v>122</v>
      </c>
      <c r="AD52" s="58" t="s">
        <v>122</v>
      </c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62"/>
      <c r="BE52" s="62"/>
      <c r="BF52" s="62"/>
      <c r="BG52" s="56">
        <f t="shared" si="5"/>
        <v>0</v>
      </c>
      <c r="BH52" s="42">
        <f t="shared" si="6"/>
        <v>0</v>
      </c>
      <c r="BI52" s="43" t="str">
        <f t="shared" si="7"/>
        <v>#DIV/0!</v>
      </c>
      <c r="BJ52" s="44">
        <f t="shared" si="8"/>
        <v>0</v>
      </c>
      <c r="BK52" s="42">
        <f t="shared" si="9"/>
        <v>0</v>
      </c>
      <c r="BL52" s="63"/>
      <c r="BM52" s="28"/>
      <c r="BN52" s="28"/>
      <c r="BO52" s="28"/>
    </row>
    <row r="53">
      <c r="A53" s="14">
        <f t="shared" si="2"/>
        <v>50</v>
      </c>
      <c r="B53" s="68">
        <f t="shared" si="3"/>
        <v>45839</v>
      </c>
      <c r="C53" s="48">
        <v>45858.0</v>
      </c>
      <c r="D53" s="49">
        <f t="shared" si="4"/>
        <v>45858</v>
      </c>
      <c r="E53" s="69"/>
      <c r="F53" s="69"/>
      <c r="G53" s="69"/>
      <c r="H53" s="69"/>
      <c r="I53" s="69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52"/>
      <c r="AA53" s="52"/>
      <c r="AB53" s="52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64"/>
      <c r="BE53" s="64"/>
      <c r="BF53" s="64"/>
      <c r="BG53" s="56">
        <f t="shared" si="5"/>
        <v>0</v>
      </c>
      <c r="BH53" s="42">
        <f t="shared" si="6"/>
        <v>0</v>
      </c>
      <c r="BI53" s="43" t="str">
        <f t="shared" si="7"/>
        <v>#DIV/0!</v>
      </c>
      <c r="BJ53" s="44">
        <f t="shared" si="8"/>
        <v>0</v>
      </c>
      <c r="BK53" s="42">
        <f t="shared" si="9"/>
        <v>0</v>
      </c>
      <c r="BL53" s="63"/>
      <c r="BM53" s="28"/>
      <c r="BN53" s="28"/>
      <c r="BO53" s="28"/>
    </row>
    <row r="54">
      <c r="A54" s="14">
        <f t="shared" si="2"/>
        <v>51</v>
      </c>
      <c r="B54" s="68">
        <f t="shared" si="3"/>
        <v>45839</v>
      </c>
      <c r="C54" s="48">
        <v>45859.0</v>
      </c>
      <c r="D54" s="57">
        <f t="shared" si="4"/>
        <v>45859</v>
      </c>
      <c r="E54" s="59" t="s">
        <v>121</v>
      </c>
      <c r="F54" s="59" t="s">
        <v>120</v>
      </c>
      <c r="G54" s="59" t="s">
        <v>120</v>
      </c>
      <c r="H54" s="59" t="s">
        <v>120</v>
      </c>
      <c r="I54" s="59" t="s">
        <v>120</v>
      </c>
      <c r="J54" s="59" t="s">
        <v>120</v>
      </c>
      <c r="K54" s="59" t="s">
        <v>120</v>
      </c>
      <c r="L54" s="59" t="s">
        <v>120</v>
      </c>
      <c r="M54" s="59" t="s">
        <v>120</v>
      </c>
      <c r="N54" s="59" t="s">
        <v>120</v>
      </c>
      <c r="O54" s="59" t="s">
        <v>120</v>
      </c>
      <c r="P54" s="59" t="s">
        <v>120</v>
      </c>
      <c r="Q54" s="59" t="s">
        <v>121</v>
      </c>
      <c r="R54" s="59" t="s">
        <v>120</v>
      </c>
      <c r="S54" s="59" t="s">
        <v>121</v>
      </c>
      <c r="T54" s="58" t="s">
        <v>120</v>
      </c>
      <c r="U54" s="58" t="s">
        <v>120</v>
      </c>
      <c r="V54" s="58" t="s">
        <v>120</v>
      </c>
      <c r="W54" s="59" t="s">
        <v>120</v>
      </c>
      <c r="X54" s="59" t="s">
        <v>120</v>
      </c>
      <c r="Y54" s="59" t="s">
        <v>120</v>
      </c>
      <c r="Z54" s="59" t="s">
        <v>120</v>
      </c>
      <c r="AA54" s="59" t="s">
        <v>120</v>
      </c>
      <c r="AB54" s="59"/>
      <c r="AC54" s="59" t="s">
        <v>120</v>
      </c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62"/>
      <c r="BE54" s="62"/>
      <c r="BF54" s="62"/>
      <c r="BG54" s="56">
        <f t="shared" si="5"/>
        <v>24</v>
      </c>
      <c r="BH54" s="42">
        <f t="shared" si="6"/>
        <v>21</v>
      </c>
      <c r="BI54" s="43">
        <f t="shared" si="7"/>
        <v>0.875</v>
      </c>
      <c r="BJ54" s="44">
        <f t="shared" si="8"/>
        <v>3</v>
      </c>
      <c r="BK54" s="42">
        <f t="shared" si="9"/>
        <v>0</v>
      </c>
      <c r="BL54" s="63"/>
      <c r="BM54" s="28"/>
      <c r="BN54" s="28"/>
      <c r="BO54" s="28"/>
    </row>
    <row r="55">
      <c r="A55" s="14">
        <f t="shared" si="2"/>
        <v>52</v>
      </c>
      <c r="B55" s="68">
        <f t="shared" si="3"/>
        <v>45839</v>
      </c>
      <c r="C55" s="48">
        <v>45860.0</v>
      </c>
      <c r="D55" s="57">
        <f t="shared" si="4"/>
        <v>45860</v>
      </c>
      <c r="E55" s="59" t="s">
        <v>121</v>
      </c>
      <c r="F55" s="59" t="s">
        <v>121</v>
      </c>
      <c r="G55" s="59" t="s">
        <v>121</v>
      </c>
      <c r="H55" s="59" t="s">
        <v>120</v>
      </c>
      <c r="I55" s="59" t="s">
        <v>120</v>
      </c>
      <c r="J55" s="59" t="s">
        <v>120</v>
      </c>
      <c r="K55" s="59" t="s">
        <v>120</v>
      </c>
      <c r="L55" s="59" t="s">
        <v>120</v>
      </c>
      <c r="M55" s="59" t="s">
        <v>120</v>
      </c>
      <c r="N55" s="59" t="s">
        <v>120</v>
      </c>
      <c r="O55" s="59" t="s">
        <v>120</v>
      </c>
      <c r="P55" s="59" t="s">
        <v>120</v>
      </c>
      <c r="Q55" s="59" t="s">
        <v>120</v>
      </c>
      <c r="R55" s="59" t="s">
        <v>120</v>
      </c>
      <c r="S55" s="59" t="s">
        <v>120</v>
      </c>
      <c r="T55" s="58" t="s">
        <v>120</v>
      </c>
      <c r="U55" s="58" t="s">
        <v>120</v>
      </c>
      <c r="V55" s="58" t="s">
        <v>120</v>
      </c>
      <c r="W55" s="59" t="s">
        <v>120</v>
      </c>
      <c r="X55" s="59" t="s">
        <v>120</v>
      </c>
      <c r="Y55" s="59" t="s">
        <v>120</v>
      </c>
      <c r="Z55" s="59" t="s">
        <v>120</v>
      </c>
      <c r="AA55" s="59" t="s">
        <v>120</v>
      </c>
      <c r="AB55" s="59"/>
      <c r="AC55" s="59" t="s">
        <v>121</v>
      </c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62"/>
      <c r="BE55" s="62"/>
      <c r="BF55" s="62"/>
      <c r="BG55" s="56">
        <f t="shared" si="5"/>
        <v>24</v>
      </c>
      <c r="BH55" s="42">
        <f t="shared" si="6"/>
        <v>20</v>
      </c>
      <c r="BI55" s="43">
        <f t="shared" si="7"/>
        <v>0.8333333333</v>
      </c>
      <c r="BJ55" s="44">
        <f t="shared" si="8"/>
        <v>4</v>
      </c>
      <c r="BK55" s="42">
        <f t="shared" si="9"/>
        <v>0</v>
      </c>
      <c r="BL55" s="63"/>
      <c r="BM55" s="28"/>
      <c r="BN55" s="28"/>
      <c r="BO55" s="28"/>
    </row>
    <row r="56">
      <c r="A56" s="14">
        <f t="shared" si="2"/>
        <v>53</v>
      </c>
      <c r="B56" s="68">
        <f t="shared" si="3"/>
        <v>45839</v>
      </c>
      <c r="C56" s="48">
        <v>45861.0</v>
      </c>
      <c r="D56" s="57">
        <f t="shared" si="4"/>
        <v>45861</v>
      </c>
      <c r="E56" s="59" t="s">
        <v>120</v>
      </c>
      <c r="F56" s="59" t="s">
        <v>120</v>
      </c>
      <c r="G56" s="59" t="s">
        <v>120</v>
      </c>
      <c r="H56" s="59" t="s">
        <v>120</v>
      </c>
      <c r="I56" s="59" t="s">
        <v>120</v>
      </c>
      <c r="J56" s="59" t="s">
        <v>120</v>
      </c>
      <c r="K56" s="59" t="s">
        <v>120</v>
      </c>
      <c r="L56" s="59" t="s">
        <v>120</v>
      </c>
      <c r="M56" s="59" t="s">
        <v>121</v>
      </c>
      <c r="N56" s="59" t="s">
        <v>120</v>
      </c>
      <c r="O56" s="59" t="s">
        <v>120</v>
      </c>
      <c r="P56" s="59" t="s">
        <v>121</v>
      </c>
      <c r="Q56" s="59" t="s">
        <v>120</v>
      </c>
      <c r="R56" s="59" t="s">
        <v>121</v>
      </c>
      <c r="S56" s="59" t="s">
        <v>120</v>
      </c>
      <c r="T56" s="58" t="s">
        <v>120</v>
      </c>
      <c r="U56" s="58" t="s">
        <v>120</v>
      </c>
      <c r="V56" s="58" t="s">
        <v>120</v>
      </c>
      <c r="W56" s="59" t="s">
        <v>120</v>
      </c>
      <c r="X56" s="59" t="s">
        <v>120</v>
      </c>
      <c r="Y56" s="59" t="s">
        <v>120</v>
      </c>
      <c r="Z56" s="59" t="s">
        <v>120</v>
      </c>
      <c r="AA56" s="59" t="s">
        <v>120</v>
      </c>
      <c r="AB56" s="59"/>
      <c r="AC56" s="59" t="s">
        <v>120</v>
      </c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62"/>
      <c r="BE56" s="62"/>
      <c r="BF56" s="62"/>
      <c r="BG56" s="56">
        <f t="shared" si="5"/>
        <v>24</v>
      </c>
      <c r="BH56" s="42">
        <f t="shared" si="6"/>
        <v>21</v>
      </c>
      <c r="BI56" s="43">
        <f t="shared" si="7"/>
        <v>0.875</v>
      </c>
      <c r="BJ56" s="44">
        <f t="shared" si="8"/>
        <v>3</v>
      </c>
      <c r="BK56" s="42">
        <f t="shared" si="9"/>
        <v>0</v>
      </c>
      <c r="BL56" s="63"/>
      <c r="BM56" s="28"/>
      <c r="BN56" s="28"/>
      <c r="BO56" s="28"/>
    </row>
    <row r="57">
      <c r="A57" s="14">
        <f t="shared" si="2"/>
        <v>54</v>
      </c>
      <c r="B57" s="68">
        <f t="shared" si="3"/>
        <v>45839</v>
      </c>
      <c r="C57" s="48">
        <v>45862.0</v>
      </c>
      <c r="D57" s="57">
        <f t="shared" si="4"/>
        <v>45862</v>
      </c>
      <c r="E57" s="59" t="s">
        <v>121</v>
      </c>
      <c r="F57" s="59" t="s">
        <v>120</v>
      </c>
      <c r="G57" s="59" t="s">
        <v>120</v>
      </c>
      <c r="H57" s="59" t="s">
        <v>121</v>
      </c>
      <c r="I57" s="59" t="s">
        <v>120</v>
      </c>
      <c r="J57" s="59" t="s">
        <v>120</v>
      </c>
      <c r="K57" s="59" t="s">
        <v>120</v>
      </c>
      <c r="L57" s="59" t="s">
        <v>120</v>
      </c>
      <c r="M57" s="59" t="s">
        <v>120</v>
      </c>
      <c r="N57" s="59" t="s">
        <v>120</v>
      </c>
      <c r="O57" s="59" t="s">
        <v>120</v>
      </c>
      <c r="P57" s="59" t="s">
        <v>121</v>
      </c>
      <c r="Q57" s="59" t="s">
        <v>121</v>
      </c>
      <c r="R57" s="59" t="s">
        <v>120</v>
      </c>
      <c r="S57" s="59" t="s">
        <v>120</v>
      </c>
      <c r="T57" s="58" t="s">
        <v>120</v>
      </c>
      <c r="U57" s="58" t="s">
        <v>120</v>
      </c>
      <c r="V57" s="58" t="s">
        <v>120</v>
      </c>
      <c r="W57" s="59" t="s">
        <v>121</v>
      </c>
      <c r="X57" s="59" t="s">
        <v>120</v>
      </c>
      <c r="Y57" s="59" t="s">
        <v>120</v>
      </c>
      <c r="Z57" s="59" t="s">
        <v>120</v>
      </c>
      <c r="AA57" s="59" t="s">
        <v>120</v>
      </c>
      <c r="AB57" s="60"/>
      <c r="AC57" s="59" t="s">
        <v>121</v>
      </c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62"/>
      <c r="BE57" s="62"/>
      <c r="BF57" s="62"/>
      <c r="BG57" s="56">
        <f t="shared" si="5"/>
        <v>24</v>
      </c>
      <c r="BH57" s="42">
        <f t="shared" si="6"/>
        <v>18</v>
      </c>
      <c r="BI57" s="43">
        <f t="shared" si="7"/>
        <v>0.75</v>
      </c>
      <c r="BJ57" s="44">
        <f t="shared" si="8"/>
        <v>6</v>
      </c>
      <c r="BK57" s="42">
        <f t="shared" si="9"/>
        <v>0</v>
      </c>
      <c r="BL57" s="63"/>
      <c r="BM57" s="28"/>
      <c r="BN57" s="28"/>
      <c r="BO57" s="28"/>
    </row>
    <row r="58">
      <c r="A58" s="14">
        <f t="shared" si="2"/>
        <v>55</v>
      </c>
      <c r="B58" s="68">
        <f t="shared" si="3"/>
        <v>45839</v>
      </c>
      <c r="C58" s="48">
        <v>45863.0</v>
      </c>
      <c r="D58" s="57">
        <f t="shared" si="4"/>
        <v>45863</v>
      </c>
      <c r="E58" s="59" t="s">
        <v>121</v>
      </c>
      <c r="F58" s="59" t="s">
        <v>120</v>
      </c>
      <c r="G58" s="59" t="s">
        <v>120</v>
      </c>
      <c r="H58" s="59" t="s">
        <v>120</v>
      </c>
      <c r="I58" s="59" t="s">
        <v>120</v>
      </c>
      <c r="J58" s="59" t="s">
        <v>120</v>
      </c>
      <c r="K58" s="59" t="s">
        <v>120</v>
      </c>
      <c r="L58" s="59" t="s">
        <v>120</v>
      </c>
      <c r="M58" s="59" t="s">
        <v>120</v>
      </c>
      <c r="N58" s="59" t="s">
        <v>120</v>
      </c>
      <c r="O58" s="59" t="s">
        <v>120</v>
      </c>
      <c r="P58" s="59" t="s">
        <v>121</v>
      </c>
      <c r="Q58" s="59" t="s">
        <v>120</v>
      </c>
      <c r="R58" s="59" t="s">
        <v>120</v>
      </c>
      <c r="S58" s="59" t="s">
        <v>120</v>
      </c>
      <c r="T58" s="59" t="s">
        <v>120</v>
      </c>
      <c r="U58" s="59" t="s">
        <v>120</v>
      </c>
      <c r="V58" s="58" t="s">
        <v>120</v>
      </c>
      <c r="W58" s="59" t="s">
        <v>120</v>
      </c>
      <c r="X58" s="59" t="s">
        <v>120</v>
      </c>
      <c r="Y58" s="59" t="s">
        <v>120</v>
      </c>
      <c r="Z58" s="59" t="s">
        <v>120</v>
      </c>
      <c r="AA58" s="59" t="s">
        <v>120</v>
      </c>
      <c r="AB58" s="59"/>
      <c r="AC58" s="59" t="s">
        <v>121</v>
      </c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62"/>
      <c r="BE58" s="62"/>
      <c r="BF58" s="62"/>
      <c r="BG58" s="56">
        <f t="shared" si="5"/>
        <v>24</v>
      </c>
      <c r="BH58" s="42">
        <f t="shared" si="6"/>
        <v>21</v>
      </c>
      <c r="BI58" s="43">
        <f t="shared" si="7"/>
        <v>0.875</v>
      </c>
      <c r="BJ58" s="44">
        <f t="shared" si="8"/>
        <v>3</v>
      </c>
      <c r="BK58" s="42">
        <f t="shared" si="9"/>
        <v>0</v>
      </c>
      <c r="BL58" s="63"/>
      <c r="BM58" s="28"/>
      <c r="BN58" s="28"/>
      <c r="BO58" s="28"/>
    </row>
    <row r="59">
      <c r="A59" s="14">
        <f t="shared" si="2"/>
        <v>56</v>
      </c>
      <c r="B59" s="68">
        <f t="shared" si="3"/>
        <v>45839</v>
      </c>
      <c r="C59" s="48">
        <v>45864.0</v>
      </c>
      <c r="D59" s="57">
        <f t="shared" si="4"/>
        <v>45864</v>
      </c>
      <c r="E59" s="59" t="s">
        <v>120</v>
      </c>
      <c r="F59" s="59" t="s">
        <v>120</v>
      </c>
      <c r="G59" s="59" t="s">
        <v>121</v>
      </c>
      <c r="H59" s="59" t="s">
        <v>121</v>
      </c>
      <c r="I59" s="59" t="s">
        <v>120</v>
      </c>
      <c r="J59" s="59" t="s">
        <v>120</v>
      </c>
      <c r="K59" s="59" t="s">
        <v>120</v>
      </c>
      <c r="L59" s="59" t="s">
        <v>120</v>
      </c>
      <c r="M59" s="59" t="s">
        <v>120</v>
      </c>
      <c r="N59" s="59" t="s">
        <v>120</v>
      </c>
      <c r="O59" s="59" t="s">
        <v>120</v>
      </c>
      <c r="P59" s="59" t="s">
        <v>120</v>
      </c>
      <c r="Q59" s="59" t="s">
        <v>120</v>
      </c>
      <c r="R59" s="59" t="s">
        <v>120</v>
      </c>
      <c r="S59" s="59" t="s">
        <v>120</v>
      </c>
      <c r="T59" s="59" t="s">
        <v>120</v>
      </c>
      <c r="U59" s="59" t="s">
        <v>120</v>
      </c>
      <c r="V59" s="58" t="s">
        <v>120</v>
      </c>
      <c r="W59" s="59" t="s">
        <v>120</v>
      </c>
      <c r="X59" s="59" t="s">
        <v>120</v>
      </c>
      <c r="Y59" s="59" t="s">
        <v>120</v>
      </c>
      <c r="Z59" s="59" t="s">
        <v>120</v>
      </c>
      <c r="AA59" s="59" t="s">
        <v>120</v>
      </c>
      <c r="AB59" s="59"/>
      <c r="AC59" s="59" t="s">
        <v>120</v>
      </c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62"/>
      <c r="BE59" s="62"/>
      <c r="BF59" s="62"/>
      <c r="BG59" s="56">
        <f t="shared" si="5"/>
        <v>24</v>
      </c>
      <c r="BH59" s="42">
        <f t="shared" si="6"/>
        <v>22</v>
      </c>
      <c r="BI59" s="43">
        <f t="shared" si="7"/>
        <v>0.9166666667</v>
      </c>
      <c r="BJ59" s="44">
        <f t="shared" si="8"/>
        <v>2</v>
      </c>
      <c r="BK59" s="42">
        <f t="shared" si="9"/>
        <v>0</v>
      </c>
      <c r="BL59" s="63"/>
      <c r="BM59" s="28"/>
      <c r="BN59" s="28"/>
      <c r="BO59" s="28"/>
    </row>
    <row r="60">
      <c r="A60" s="14">
        <f t="shared" si="2"/>
        <v>57</v>
      </c>
      <c r="B60" s="68">
        <f t="shared" si="3"/>
        <v>45839</v>
      </c>
      <c r="C60" s="48">
        <v>45865.0</v>
      </c>
      <c r="D60" s="49">
        <f t="shared" si="4"/>
        <v>45865</v>
      </c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64"/>
      <c r="BE60" s="64"/>
      <c r="BF60" s="64"/>
      <c r="BG60" s="56">
        <f t="shared" si="5"/>
        <v>0</v>
      </c>
      <c r="BH60" s="42">
        <f t="shared" si="6"/>
        <v>0</v>
      </c>
      <c r="BI60" s="43" t="str">
        <f t="shared" si="7"/>
        <v>#DIV/0!</v>
      </c>
      <c r="BJ60" s="44">
        <f t="shared" si="8"/>
        <v>0</v>
      </c>
      <c r="BK60" s="42">
        <f t="shared" si="9"/>
        <v>0</v>
      </c>
      <c r="BL60" s="63"/>
      <c r="BM60" s="28"/>
      <c r="BN60" s="28"/>
      <c r="BO60" s="28"/>
    </row>
    <row r="61">
      <c r="A61" s="14">
        <f t="shared" si="2"/>
        <v>58</v>
      </c>
      <c r="B61" s="68">
        <f t="shared" si="3"/>
        <v>45839</v>
      </c>
      <c r="C61" s="48">
        <v>45866.0</v>
      </c>
      <c r="D61" s="57">
        <f t="shared" si="4"/>
        <v>45866</v>
      </c>
      <c r="E61" s="59" t="s">
        <v>120</v>
      </c>
      <c r="F61" s="59" t="s">
        <v>120</v>
      </c>
      <c r="G61" s="59" t="s">
        <v>120</v>
      </c>
      <c r="H61" s="59" t="s">
        <v>121</v>
      </c>
      <c r="I61" s="59" t="s">
        <v>120</v>
      </c>
      <c r="J61" s="59" t="s">
        <v>121</v>
      </c>
      <c r="K61" s="59" t="s">
        <v>120</v>
      </c>
      <c r="L61" s="59" t="s">
        <v>121</v>
      </c>
      <c r="M61" s="59" t="s">
        <v>120</v>
      </c>
      <c r="N61" s="59" t="s">
        <v>120</v>
      </c>
      <c r="O61" s="59" t="s">
        <v>120</v>
      </c>
      <c r="P61" s="59" t="s">
        <v>120</v>
      </c>
      <c r="Q61" s="59" t="s">
        <v>120</v>
      </c>
      <c r="R61" s="59" t="s">
        <v>120</v>
      </c>
      <c r="S61" s="59" t="s">
        <v>120</v>
      </c>
      <c r="T61" s="58" t="s">
        <v>120</v>
      </c>
      <c r="U61" s="58" t="s">
        <v>120</v>
      </c>
      <c r="V61" s="59" t="s">
        <v>120</v>
      </c>
      <c r="W61" s="59" t="s">
        <v>120</v>
      </c>
      <c r="X61" s="59" t="s">
        <v>120</v>
      </c>
      <c r="Y61" s="59" t="s">
        <v>120</v>
      </c>
      <c r="Z61" s="59" t="s">
        <v>120</v>
      </c>
      <c r="AA61" s="73" t="s">
        <v>120</v>
      </c>
      <c r="AB61" s="59"/>
      <c r="AC61" s="59" t="s">
        <v>121</v>
      </c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62"/>
      <c r="BE61" s="62"/>
      <c r="BF61" s="62"/>
      <c r="BG61" s="56">
        <f t="shared" si="5"/>
        <v>24</v>
      </c>
      <c r="BH61" s="42">
        <f t="shared" si="6"/>
        <v>20</v>
      </c>
      <c r="BI61" s="43">
        <f t="shared" si="7"/>
        <v>0.8333333333</v>
      </c>
      <c r="BJ61" s="44">
        <f t="shared" si="8"/>
        <v>4</v>
      </c>
      <c r="BK61" s="42">
        <f t="shared" si="9"/>
        <v>0</v>
      </c>
      <c r="BL61" s="63"/>
      <c r="BM61" s="28"/>
      <c r="BN61" s="28"/>
      <c r="BO61" s="28"/>
    </row>
    <row r="62">
      <c r="A62" s="14">
        <f t="shared" si="2"/>
        <v>59</v>
      </c>
      <c r="B62" s="68">
        <f t="shared" si="3"/>
        <v>45839</v>
      </c>
      <c r="C62" s="48">
        <v>45867.0</v>
      </c>
      <c r="D62" s="57">
        <f t="shared" si="4"/>
        <v>45867</v>
      </c>
      <c r="E62" s="59" t="s">
        <v>121</v>
      </c>
      <c r="F62" s="59" t="s">
        <v>120</v>
      </c>
      <c r="G62" s="59" t="s">
        <v>120</v>
      </c>
      <c r="H62" s="59" t="s">
        <v>121</v>
      </c>
      <c r="I62" s="59" t="s">
        <v>120</v>
      </c>
      <c r="J62" s="59" t="s">
        <v>120</v>
      </c>
      <c r="K62" s="59" t="s">
        <v>120</v>
      </c>
      <c r="L62" s="59" t="s">
        <v>120</v>
      </c>
      <c r="M62" s="59" t="s">
        <v>120</v>
      </c>
      <c r="N62" s="59" t="s">
        <v>120</v>
      </c>
      <c r="O62" s="59" t="s">
        <v>120</v>
      </c>
      <c r="P62" s="59" t="s">
        <v>120</v>
      </c>
      <c r="Q62" s="59" t="s">
        <v>121</v>
      </c>
      <c r="R62" s="59" t="s">
        <v>120</v>
      </c>
      <c r="S62" s="59" t="s">
        <v>120</v>
      </c>
      <c r="T62" s="58" t="s">
        <v>120</v>
      </c>
      <c r="U62" s="58" t="s">
        <v>120</v>
      </c>
      <c r="V62" s="59" t="s">
        <v>120</v>
      </c>
      <c r="W62" s="59" t="s">
        <v>120</v>
      </c>
      <c r="X62" s="59" t="s">
        <v>120</v>
      </c>
      <c r="Y62" s="59" t="s">
        <v>120</v>
      </c>
      <c r="Z62" s="59" t="s">
        <v>120</v>
      </c>
      <c r="AA62" s="73" t="s">
        <v>120</v>
      </c>
      <c r="AB62" s="59"/>
      <c r="AC62" s="59" t="s">
        <v>121</v>
      </c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62"/>
      <c r="BE62" s="62"/>
      <c r="BF62" s="62"/>
      <c r="BG62" s="56">
        <f t="shared" si="5"/>
        <v>24</v>
      </c>
      <c r="BH62" s="42">
        <f t="shared" si="6"/>
        <v>20</v>
      </c>
      <c r="BI62" s="43">
        <f t="shared" si="7"/>
        <v>0.8333333333</v>
      </c>
      <c r="BJ62" s="44">
        <f t="shared" si="8"/>
        <v>4</v>
      </c>
      <c r="BK62" s="42">
        <f t="shared" si="9"/>
        <v>0</v>
      </c>
      <c r="BL62" s="63"/>
      <c r="BM62" s="28"/>
      <c r="BN62" s="28"/>
      <c r="BO62" s="28"/>
    </row>
    <row r="63">
      <c r="A63" s="14">
        <f t="shared" si="2"/>
        <v>60</v>
      </c>
      <c r="B63" s="68">
        <f t="shared" si="3"/>
        <v>45839</v>
      </c>
      <c r="C63" s="48">
        <v>45868.0</v>
      </c>
      <c r="D63" s="57">
        <f t="shared" si="4"/>
        <v>45868</v>
      </c>
      <c r="E63" s="59" t="s">
        <v>120</v>
      </c>
      <c r="F63" s="59" t="s">
        <v>120</v>
      </c>
      <c r="G63" s="59" t="s">
        <v>120</v>
      </c>
      <c r="H63" s="59" t="s">
        <v>121</v>
      </c>
      <c r="I63" s="59" t="s">
        <v>120</v>
      </c>
      <c r="J63" s="59" t="s">
        <v>120</v>
      </c>
      <c r="K63" s="59" t="s">
        <v>120</v>
      </c>
      <c r="L63" s="59" t="s">
        <v>120</v>
      </c>
      <c r="M63" s="59" t="s">
        <v>121</v>
      </c>
      <c r="N63" s="59" t="s">
        <v>120</v>
      </c>
      <c r="O63" s="59" t="s">
        <v>120</v>
      </c>
      <c r="P63" s="59" t="s">
        <v>120</v>
      </c>
      <c r="Q63" s="59" t="s">
        <v>120</v>
      </c>
      <c r="R63" s="59" t="s">
        <v>120</v>
      </c>
      <c r="S63" s="59" t="s">
        <v>120</v>
      </c>
      <c r="T63" s="58" t="s">
        <v>120</v>
      </c>
      <c r="U63" s="58" t="s">
        <v>120</v>
      </c>
      <c r="V63" s="59" t="s">
        <v>120</v>
      </c>
      <c r="W63" s="59" t="s">
        <v>120</v>
      </c>
      <c r="X63" s="59" t="s">
        <v>120</v>
      </c>
      <c r="Y63" s="59" t="s">
        <v>120</v>
      </c>
      <c r="Z63" s="59" t="s">
        <v>120</v>
      </c>
      <c r="AA63" s="73" t="s">
        <v>120</v>
      </c>
      <c r="AB63" s="59"/>
      <c r="AC63" s="59" t="s">
        <v>120</v>
      </c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62"/>
      <c r="BE63" s="62"/>
      <c r="BF63" s="62"/>
      <c r="BG63" s="56">
        <f t="shared" si="5"/>
        <v>24</v>
      </c>
      <c r="BH63" s="42">
        <f t="shared" si="6"/>
        <v>22</v>
      </c>
      <c r="BI63" s="43">
        <f t="shared" si="7"/>
        <v>0.9166666667</v>
      </c>
      <c r="BJ63" s="44">
        <f t="shared" si="8"/>
        <v>2</v>
      </c>
      <c r="BK63" s="42">
        <f t="shared" si="9"/>
        <v>0</v>
      </c>
      <c r="BL63" s="63"/>
      <c r="BM63" s="28"/>
      <c r="BN63" s="28"/>
      <c r="BO63" s="28"/>
    </row>
    <row r="64">
      <c r="A64" s="14">
        <f t="shared" si="2"/>
        <v>61</v>
      </c>
      <c r="B64" s="68">
        <f t="shared" si="3"/>
        <v>45839</v>
      </c>
      <c r="C64" s="48">
        <v>45869.0</v>
      </c>
      <c r="D64" s="57">
        <f t="shared" si="4"/>
        <v>45869</v>
      </c>
      <c r="E64" s="59" t="s">
        <v>121</v>
      </c>
      <c r="F64" s="59" t="s">
        <v>120</v>
      </c>
      <c r="G64" s="59" t="s">
        <v>120</v>
      </c>
      <c r="H64" s="59" t="s">
        <v>121</v>
      </c>
      <c r="I64" s="59" t="s">
        <v>120</v>
      </c>
      <c r="J64" s="59" t="s">
        <v>120</v>
      </c>
      <c r="K64" s="59" t="s">
        <v>120</v>
      </c>
      <c r="L64" s="59" t="s">
        <v>120</v>
      </c>
      <c r="M64" s="59" t="s">
        <v>120</v>
      </c>
      <c r="N64" s="59" t="s">
        <v>120</v>
      </c>
      <c r="O64" s="59" t="s">
        <v>120</v>
      </c>
      <c r="P64" s="59" t="s">
        <v>120</v>
      </c>
      <c r="Q64" s="59" t="s">
        <v>120</v>
      </c>
      <c r="R64" s="59" t="s">
        <v>120</v>
      </c>
      <c r="S64" s="59" t="s">
        <v>120</v>
      </c>
      <c r="T64" s="58" t="s">
        <v>120</v>
      </c>
      <c r="U64" s="58" t="s">
        <v>120</v>
      </c>
      <c r="V64" s="59" t="s">
        <v>120</v>
      </c>
      <c r="W64" s="59" t="s">
        <v>121</v>
      </c>
      <c r="X64" s="59" t="s">
        <v>120</v>
      </c>
      <c r="Y64" s="59" t="s">
        <v>120</v>
      </c>
      <c r="Z64" s="59" t="s">
        <v>120</v>
      </c>
      <c r="AA64" s="73" t="s">
        <v>120</v>
      </c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62"/>
      <c r="BE64" s="62"/>
      <c r="BF64" s="62"/>
      <c r="BG64" s="56">
        <f t="shared" si="5"/>
        <v>23</v>
      </c>
      <c r="BH64" s="42">
        <f t="shared" si="6"/>
        <v>20</v>
      </c>
      <c r="BI64" s="43">
        <f t="shared" si="7"/>
        <v>0.8695652174</v>
      </c>
      <c r="BJ64" s="44">
        <f t="shared" si="8"/>
        <v>3</v>
      </c>
      <c r="BK64" s="42">
        <f t="shared" si="9"/>
        <v>0</v>
      </c>
      <c r="BL64" s="63"/>
      <c r="BM64" s="28"/>
      <c r="BN64" s="28"/>
      <c r="BO64" s="28"/>
    </row>
    <row r="65">
      <c r="A65" s="14">
        <f t="shared" si="2"/>
        <v>62</v>
      </c>
      <c r="B65" s="74">
        <f t="shared" si="3"/>
        <v>45870</v>
      </c>
      <c r="C65" s="48">
        <v>45870.0</v>
      </c>
      <c r="D65" s="57">
        <f t="shared" si="4"/>
        <v>45870</v>
      </c>
      <c r="E65" s="59" t="s">
        <v>120</v>
      </c>
      <c r="F65" s="59" t="s">
        <v>120</v>
      </c>
      <c r="G65" s="59" t="s">
        <v>120</v>
      </c>
      <c r="H65" s="59" t="s">
        <v>121</v>
      </c>
      <c r="I65" s="59" t="s">
        <v>120</v>
      </c>
      <c r="J65" s="59" t="s">
        <v>120</v>
      </c>
      <c r="K65" s="59" t="s">
        <v>120</v>
      </c>
      <c r="L65" s="59" t="s">
        <v>120</v>
      </c>
      <c r="M65" s="59" t="s">
        <v>120</v>
      </c>
      <c r="N65" s="59" t="s">
        <v>120</v>
      </c>
      <c r="O65" s="59" t="s">
        <v>120</v>
      </c>
      <c r="P65" s="59" t="s">
        <v>120</v>
      </c>
      <c r="Q65" s="59" t="s">
        <v>120</v>
      </c>
      <c r="R65" s="59" t="s">
        <v>120</v>
      </c>
      <c r="S65" s="59" t="s">
        <v>120</v>
      </c>
      <c r="T65" s="59" t="s">
        <v>120</v>
      </c>
      <c r="U65" s="59" t="s">
        <v>120</v>
      </c>
      <c r="V65" s="59" t="s">
        <v>120</v>
      </c>
      <c r="W65" s="59" t="s">
        <v>120</v>
      </c>
      <c r="X65" s="59" t="s">
        <v>120</v>
      </c>
      <c r="Y65" s="59" t="s">
        <v>120</v>
      </c>
      <c r="Z65" s="59" t="s">
        <v>120</v>
      </c>
      <c r="AA65" s="59" t="s">
        <v>120</v>
      </c>
      <c r="AB65" s="59" t="s">
        <v>120</v>
      </c>
      <c r="AC65" s="59" t="s">
        <v>121</v>
      </c>
      <c r="AD65" s="59" t="s">
        <v>120</v>
      </c>
      <c r="AE65" s="59" t="s">
        <v>120</v>
      </c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62"/>
      <c r="BE65" s="62"/>
      <c r="BF65" s="62"/>
      <c r="BG65" s="56">
        <f t="shared" si="5"/>
        <v>27</v>
      </c>
      <c r="BH65" s="42">
        <f t="shared" si="6"/>
        <v>25</v>
      </c>
      <c r="BI65" s="43">
        <f t="shared" si="7"/>
        <v>0.9259259259</v>
      </c>
      <c r="BJ65" s="44">
        <f t="shared" si="8"/>
        <v>2</v>
      </c>
      <c r="BK65" s="42">
        <f t="shared" si="9"/>
        <v>0</v>
      </c>
      <c r="BL65" s="63"/>
      <c r="BM65" s="28"/>
      <c r="BN65" s="28"/>
      <c r="BO65" s="28"/>
    </row>
    <row r="66">
      <c r="A66" s="14">
        <f t="shared" si="2"/>
        <v>63</v>
      </c>
      <c r="B66" s="74">
        <f t="shared" si="3"/>
        <v>45870</v>
      </c>
      <c r="C66" s="48">
        <v>45871.0</v>
      </c>
      <c r="D66" s="57">
        <f t="shared" si="4"/>
        <v>45871</v>
      </c>
      <c r="E66" s="59" t="s">
        <v>121</v>
      </c>
      <c r="F66" s="59" t="s">
        <v>120</v>
      </c>
      <c r="G66" s="59" t="s">
        <v>120</v>
      </c>
      <c r="H66" s="59" t="s">
        <v>121</v>
      </c>
      <c r="I66" s="59" t="s">
        <v>120</v>
      </c>
      <c r="J66" s="59" t="s">
        <v>121</v>
      </c>
      <c r="K66" s="59" t="s">
        <v>120</v>
      </c>
      <c r="L66" s="59" t="s">
        <v>120</v>
      </c>
      <c r="M66" s="59" t="s">
        <v>121</v>
      </c>
      <c r="N66" s="59" t="s">
        <v>120</v>
      </c>
      <c r="O66" s="59" t="s">
        <v>120</v>
      </c>
      <c r="P66" s="59" t="s">
        <v>120</v>
      </c>
      <c r="Q66" s="59" t="s">
        <v>120</v>
      </c>
      <c r="R66" s="59" t="s">
        <v>120</v>
      </c>
      <c r="S66" s="59" t="s">
        <v>120</v>
      </c>
      <c r="T66" s="59" t="s">
        <v>120</v>
      </c>
      <c r="U66" s="59" t="s">
        <v>120</v>
      </c>
      <c r="V66" s="59" t="s">
        <v>120</v>
      </c>
      <c r="W66" s="59" t="s">
        <v>120</v>
      </c>
      <c r="X66" s="59" t="s">
        <v>120</v>
      </c>
      <c r="Y66" s="59" t="s">
        <v>121</v>
      </c>
      <c r="Z66" s="59" t="s">
        <v>120</v>
      </c>
      <c r="AA66" s="59" t="s">
        <v>120</v>
      </c>
      <c r="AB66" s="59" t="s">
        <v>120</v>
      </c>
      <c r="AC66" s="59" t="s">
        <v>121</v>
      </c>
      <c r="AD66" s="59" t="s">
        <v>120</v>
      </c>
      <c r="AE66" s="59" t="s">
        <v>120</v>
      </c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62"/>
      <c r="BE66" s="62"/>
      <c r="BF66" s="62"/>
      <c r="BG66" s="56">
        <f t="shared" si="5"/>
        <v>27</v>
      </c>
      <c r="BH66" s="42">
        <f t="shared" si="6"/>
        <v>21</v>
      </c>
      <c r="BI66" s="43">
        <f t="shared" si="7"/>
        <v>0.7777777778</v>
      </c>
      <c r="BJ66" s="44">
        <f t="shared" si="8"/>
        <v>6</v>
      </c>
      <c r="BK66" s="42">
        <f t="shared" si="9"/>
        <v>0</v>
      </c>
      <c r="BL66" s="63"/>
      <c r="BM66" s="28"/>
      <c r="BN66" s="28"/>
      <c r="BO66" s="28"/>
    </row>
    <row r="67">
      <c r="A67" s="14">
        <f t="shared" si="2"/>
        <v>64</v>
      </c>
      <c r="B67" s="74">
        <f t="shared" si="3"/>
        <v>45870</v>
      </c>
      <c r="C67" s="48">
        <v>45872.0</v>
      </c>
      <c r="D67" s="49">
        <f t="shared" si="4"/>
        <v>45872</v>
      </c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64"/>
      <c r="BE67" s="64"/>
      <c r="BF67" s="64"/>
      <c r="BG67" s="56">
        <f t="shared" si="5"/>
        <v>0</v>
      </c>
      <c r="BH67" s="42">
        <f t="shared" si="6"/>
        <v>0</v>
      </c>
      <c r="BI67" s="43" t="str">
        <f t="shared" si="7"/>
        <v>#DIV/0!</v>
      </c>
      <c r="BJ67" s="44">
        <f t="shared" si="8"/>
        <v>0</v>
      </c>
      <c r="BK67" s="42">
        <f t="shared" si="9"/>
        <v>0</v>
      </c>
      <c r="BL67" s="63"/>
      <c r="BM67" s="28"/>
      <c r="BN67" s="28"/>
      <c r="BO67" s="28"/>
    </row>
    <row r="68">
      <c r="A68" s="14">
        <f t="shared" si="2"/>
        <v>65</v>
      </c>
      <c r="B68" s="74">
        <f t="shared" si="3"/>
        <v>45870</v>
      </c>
      <c r="C68" s="48">
        <v>45873.0</v>
      </c>
      <c r="D68" s="57">
        <f t="shared" si="4"/>
        <v>45873</v>
      </c>
      <c r="E68" s="59" t="s">
        <v>120</v>
      </c>
      <c r="F68" s="59" t="s">
        <v>120</v>
      </c>
      <c r="G68" s="59" t="s">
        <v>120</v>
      </c>
      <c r="H68" s="59" t="s">
        <v>120</v>
      </c>
      <c r="I68" s="59" t="s">
        <v>120</v>
      </c>
      <c r="J68" s="59" t="s">
        <v>121</v>
      </c>
      <c r="K68" s="59" t="s">
        <v>120</v>
      </c>
      <c r="L68" s="59" t="s">
        <v>120</v>
      </c>
      <c r="M68" s="59" t="s">
        <v>121</v>
      </c>
      <c r="N68" s="59" t="s">
        <v>120</v>
      </c>
      <c r="O68" s="59" t="s">
        <v>120</v>
      </c>
      <c r="P68" s="59" t="s">
        <v>121</v>
      </c>
      <c r="Q68" s="59" t="s">
        <v>120</v>
      </c>
      <c r="R68" s="59" t="s">
        <v>120</v>
      </c>
      <c r="S68" s="59" t="s">
        <v>120</v>
      </c>
      <c r="T68" s="59" t="s">
        <v>121</v>
      </c>
      <c r="U68" s="59" t="s">
        <v>120</v>
      </c>
      <c r="V68" s="59" t="s">
        <v>120</v>
      </c>
      <c r="W68" s="59" t="s">
        <v>120</v>
      </c>
      <c r="X68" s="59" t="s">
        <v>120</v>
      </c>
      <c r="Y68" s="59" t="s">
        <v>121</v>
      </c>
      <c r="Z68" s="59" t="s">
        <v>120</v>
      </c>
      <c r="AA68" s="59" t="s">
        <v>120</v>
      </c>
      <c r="AB68" s="59" t="s">
        <v>120</v>
      </c>
      <c r="AC68" s="59" t="s">
        <v>120</v>
      </c>
      <c r="AD68" s="59" t="s">
        <v>120</v>
      </c>
      <c r="AE68" s="59" t="s">
        <v>121</v>
      </c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62"/>
      <c r="BE68" s="62"/>
      <c r="BF68" s="62"/>
      <c r="BG68" s="56">
        <f t="shared" si="5"/>
        <v>27</v>
      </c>
      <c r="BH68" s="42">
        <f t="shared" si="6"/>
        <v>21</v>
      </c>
      <c r="BI68" s="43">
        <f t="shared" si="7"/>
        <v>0.7777777778</v>
      </c>
      <c r="BJ68" s="44">
        <f t="shared" si="8"/>
        <v>6</v>
      </c>
      <c r="BK68" s="42">
        <f t="shared" si="9"/>
        <v>0</v>
      </c>
      <c r="BL68" s="63"/>
      <c r="BM68" s="28"/>
      <c r="BN68" s="28"/>
      <c r="BO68" s="28"/>
    </row>
    <row r="69">
      <c r="A69" s="14">
        <f t="shared" si="2"/>
        <v>66</v>
      </c>
      <c r="B69" s="74">
        <f t="shared" si="3"/>
        <v>45870</v>
      </c>
      <c r="C69" s="48">
        <v>45874.0</v>
      </c>
      <c r="D69" s="57">
        <f t="shared" si="4"/>
        <v>45874</v>
      </c>
      <c r="E69" s="59" t="s">
        <v>121</v>
      </c>
      <c r="F69" s="59" t="s">
        <v>120</v>
      </c>
      <c r="G69" s="59" t="s">
        <v>120</v>
      </c>
      <c r="H69" s="59" t="s">
        <v>121</v>
      </c>
      <c r="I69" s="59" t="s">
        <v>120</v>
      </c>
      <c r="J69" s="59" t="s">
        <v>121</v>
      </c>
      <c r="K69" s="59" t="s">
        <v>120</v>
      </c>
      <c r="L69" s="59" t="s">
        <v>120</v>
      </c>
      <c r="M69" s="59" t="s">
        <v>121</v>
      </c>
      <c r="N69" s="59" t="s">
        <v>120</v>
      </c>
      <c r="O69" s="59" t="s">
        <v>120</v>
      </c>
      <c r="P69" s="59" t="s">
        <v>120</v>
      </c>
      <c r="Q69" s="59" t="s">
        <v>120</v>
      </c>
      <c r="R69" s="59" t="s">
        <v>120</v>
      </c>
      <c r="S69" s="59" t="s">
        <v>120</v>
      </c>
      <c r="T69" s="59" t="s">
        <v>120</v>
      </c>
      <c r="U69" s="59" t="s">
        <v>120</v>
      </c>
      <c r="V69" s="59" t="s">
        <v>120</v>
      </c>
      <c r="W69" s="59" t="s">
        <v>121</v>
      </c>
      <c r="X69" s="59" t="s">
        <v>120</v>
      </c>
      <c r="Y69" s="59" t="s">
        <v>120</v>
      </c>
      <c r="Z69" s="59" t="s">
        <v>120</v>
      </c>
      <c r="AA69" s="59" t="s">
        <v>120</v>
      </c>
      <c r="AB69" s="59" t="s">
        <v>120</v>
      </c>
      <c r="AC69" s="59" t="s">
        <v>121</v>
      </c>
      <c r="AD69" s="59" t="s">
        <v>120</v>
      </c>
      <c r="AE69" s="59" t="s">
        <v>120</v>
      </c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62"/>
      <c r="BE69" s="62"/>
      <c r="BF69" s="62"/>
      <c r="BG69" s="56">
        <f t="shared" si="5"/>
        <v>27</v>
      </c>
      <c r="BH69" s="42">
        <f t="shared" si="6"/>
        <v>21</v>
      </c>
      <c r="BI69" s="43">
        <f t="shared" si="7"/>
        <v>0.7777777778</v>
      </c>
      <c r="BJ69" s="44">
        <f t="shared" si="8"/>
        <v>6</v>
      </c>
      <c r="BK69" s="42">
        <f t="shared" si="9"/>
        <v>0</v>
      </c>
      <c r="BL69" s="63"/>
      <c r="BM69" s="28"/>
      <c r="BN69" s="28"/>
      <c r="BO69" s="28"/>
    </row>
    <row r="70">
      <c r="A70" s="14">
        <f t="shared" si="2"/>
        <v>67</v>
      </c>
      <c r="B70" s="74">
        <f t="shared" si="3"/>
        <v>45870</v>
      </c>
      <c r="C70" s="48">
        <v>45875.0</v>
      </c>
      <c r="D70" s="57">
        <f t="shared" si="4"/>
        <v>45875</v>
      </c>
      <c r="E70" s="59" t="s">
        <v>121</v>
      </c>
      <c r="F70" s="59" t="s">
        <v>120</v>
      </c>
      <c r="G70" s="59" t="s">
        <v>120</v>
      </c>
      <c r="H70" s="59" t="s">
        <v>120</v>
      </c>
      <c r="I70" s="59" t="s">
        <v>120</v>
      </c>
      <c r="J70" s="59" t="s">
        <v>121</v>
      </c>
      <c r="K70" s="59" t="s">
        <v>120</v>
      </c>
      <c r="L70" s="59" t="s">
        <v>120</v>
      </c>
      <c r="M70" s="59" t="s">
        <v>121</v>
      </c>
      <c r="N70" s="59" t="s">
        <v>120</v>
      </c>
      <c r="O70" s="59" t="s">
        <v>120</v>
      </c>
      <c r="P70" s="59" t="s">
        <v>120</v>
      </c>
      <c r="Q70" s="59" t="s">
        <v>120</v>
      </c>
      <c r="R70" s="59" t="s">
        <v>120</v>
      </c>
      <c r="S70" s="59" t="s">
        <v>121</v>
      </c>
      <c r="T70" s="59" t="s">
        <v>121</v>
      </c>
      <c r="U70" s="59" t="s">
        <v>121</v>
      </c>
      <c r="V70" s="59" t="s">
        <v>120</v>
      </c>
      <c r="W70" s="59" t="s">
        <v>120</v>
      </c>
      <c r="X70" s="59" t="s">
        <v>120</v>
      </c>
      <c r="Y70" s="59" t="s">
        <v>121</v>
      </c>
      <c r="Z70" s="59" t="s">
        <v>121</v>
      </c>
      <c r="AA70" s="59" t="s">
        <v>120</v>
      </c>
      <c r="AB70" s="59" t="s">
        <v>120</v>
      </c>
      <c r="AC70" s="59" t="s">
        <v>120</v>
      </c>
      <c r="AD70" s="59" t="s">
        <v>120</v>
      </c>
      <c r="AE70" s="59" t="s">
        <v>120</v>
      </c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62"/>
      <c r="BE70" s="62"/>
      <c r="BF70" s="62"/>
      <c r="BG70" s="56">
        <f t="shared" si="5"/>
        <v>27</v>
      </c>
      <c r="BH70" s="42">
        <f t="shared" si="6"/>
        <v>19</v>
      </c>
      <c r="BI70" s="43">
        <f t="shared" si="7"/>
        <v>0.7037037037</v>
      </c>
      <c r="BJ70" s="44">
        <f t="shared" si="8"/>
        <v>8</v>
      </c>
      <c r="BK70" s="42">
        <f t="shared" si="9"/>
        <v>0</v>
      </c>
      <c r="BL70" s="63"/>
      <c r="BM70" s="28"/>
      <c r="BN70" s="28"/>
      <c r="BO70" s="28"/>
    </row>
    <row r="71">
      <c r="A71" s="14">
        <f t="shared" si="2"/>
        <v>68</v>
      </c>
      <c r="B71" s="74">
        <f t="shared" si="3"/>
        <v>45870</v>
      </c>
      <c r="C71" s="48">
        <v>45876.0</v>
      </c>
      <c r="D71" s="57">
        <f t="shared" si="4"/>
        <v>45876</v>
      </c>
      <c r="E71" s="59" t="s">
        <v>120</v>
      </c>
      <c r="F71" s="59" t="s">
        <v>120</v>
      </c>
      <c r="G71" s="59" t="s">
        <v>120</v>
      </c>
      <c r="H71" s="59" t="s">
        <v>120</v>
      </c>
      <c r="I71" s="59" t="s">
        <v>120</v>
      </c>
      <c r="J71" s="59" t="s">
        <v>120</v>
      </c>
      <c r="K71" s="59" t="s">
        <v>120</v>
      </c>
      <c r="L71" s="59" t="s">
        <v>120</v>
      </c>
      <c r="M71" s="59" t="s">
        <v>120</v>
      </c>
      <c r="N71" s="59" t="s">
        <v>120</v>
      </c>
      <c r="O71" s="59" t="s">
        <v>120</v>
      </c>
      <c r="P71" s="59" t="s">
        <v>120</v>
      </c>
      <c r="Q71" s="59" t="s">
        <v>120</v>
      </c>
      <c r="R71" s="59" t="s">
        <v>120</v>
      </c>
      <c r="S71" s="59" t="s">
        <v>120</v>
      </c>
      <c r="T71" s="59" t="s">
        <v>120</v>
      </c>
      <c r="U71" s="59" t="s">
        <v>120</v>
      </c>
      <c r="V71" s="59" t="s">
        <v>120</v>
      </c>
      <c r="W71" s="59" t="s">
        <v>120</v>
      </c>
      <c r="X71" s="59" t="s">
        <v>120</v>
      </c>
      <c r="Y71" s="59" t="s">
        <v>120</v>
      </c>
      <c r="Z71" s="59" t="s">
        <v>120</v>
      </c>
      <c r="AA71" s="59" t="s">
        <v>120</v>
      </c>
      <c r="AB71" s="59" t="s">
        <v>120</v>
      </c>
      <c r="AC71" s="59" t="s">
        <v>121</v>
      </c>
      <c r="AD71" s="59" t="s">
        <v>120</v>
      </c>
      <c r="AE71" s="59" t="s">
        <v>120</v>
      </c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62"/>
      <c r="BE71" s="62"/>
      <c r="BF71" s="62"/>
      <c r="BG71" s="56">
        <f t="shared" si="5"/>
        <v>27</v>
      </c>
      <c r="BH71" s="42">
        <f t="shared" si="6"/>
        <v>26</v>
      </c>
      <c r="BI71" s="43">
        <f t="shared" si="7"/>
        <v>0.962962963</v>
      </c>
      <c r="BJ71" s="44">
        <f t="shared" si="8"/>
        <v>1</v>
      </c>
      <c r="BK71" s="42">
        <f t="shared" si="9"/>
        <v>0</v>
      </c>
      <c r="BL71" s="63"/>
      <c r="BM71" s="28"/>
      <c r="BN71" s="28"/>
      <c r="BO71" s="28"/>
    </row>
    <row r="72">
      <c r="A72" s="14">
        <f t="shared" si="2"/>
        <v>69</v>
      </c>
      <c r="B72" s="74">
        <f t="shared" si="3"/>
        <v>45870</v>
      </c>
      <c r="C72" s="48">
        <v>45877.0</v>
      </c>
      <c r="D72" s="57">
        <f t="shared" si="4"/>
        <v>45877</v>
      </c>
      <c r="E72" s="59" t="s">
        <v>121</v>
      </c>
      <c r="F72" s="59" t="s">
        <v>120</v>
      </c>
      <c r="G72" s="59" t="s">
        <v>120</v>
      </c>
      <c r="H72" s="59" t="s">
        <v>120</v>
      </c>
      <c r="I72" s="59" t="s">
        <v>120</v>
      </c>
      <c r="J72" s="59" t="s">
        <v>120</v>
      </c>
      <c r="K72" s="59" t="s">
        <v>120</v>
      </c>
      <c r="L72" s="59" t="s">
        <v>120</v>
      </c>
      <c r="M72" s="59" t="s">
        <v>121</v>
      </c>
      <c r="N72" s="59" t="s">
        <v>120</v>
      </c>
      <c r="O72" s="59" t="s">
        <v>120</v>
      </c>
      <c r="P72" s="59" t="s">
        <v>121</v>
      </c>
      <c r="Q72" s="59" t="s">
        <v>120</v>
      </c>
      <c r="R72" s="59" t="s">
        <v>121</v>
      </c>
      <c r="S72" s="59" t="s">
        <v>120</v>
      </c>
      <c r="T72" s="59" t="s">
        <v>121</v>
      </c>
      <c r="U72" s="59" t="s">
        <v>121</v>
      </c>
      <c r="V72" s="59" t="s">
        <v>120</v>
      </c>
      <c r="W72" s="59" t="s">
        <v>121</v>
      </c>
      <c r="X72" s="59" t="s">
        <v>120</v>
      </c>
      <c r="Y72" s="59" t="s">
        <v>121</v>
      </c>
      <c r="Z72" s="59" t="s">
        <v>120</v>
      </c>
      <c r="AA72" s="59" t="s">
        <v>120</v>
      </c>
      <c r="AB72" s="59" t="s">
        <v>120</v>
      </c>
      <c r="AC72" s="59" t="s">
        <v>120</v>
      </c>
      <c r="AD72" s="59" t="s">
        <v>120</v>
      </c>
      <c r="AE72" s="59" t="s">
        <v>120</v>
      </c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62"/>
      <c r="BE72" s="62"/>
      <c r="BF72" s="62"/>
      <c r="BG72" s="56">
        <f t="shared" si="5"/>
        <v>27</v>
      </c>
      <c r="BH72" s="42">
        <f t="shared" si="6"/>
        <v>19</v>
      </c>
      <c r="BI72" s="43">
        <f t="shared" si="7"/>
        <v>0.7037037037</v>
      </c>
      <c r="BJ72" s="44">
        <f t="shared" si="8"/>
        <v>8</v>
      </c>
      <c r="BK72" s="42">
        <f t="shared" si="9"/>
        <v>0</v>
      </c>
      <c r="BL72" s="63"/>
      <c r="BM72" s="28"/>
      <c r="BN72" s="28"/>
      <c r="BO72" s="28"/>
    </row>
    <row r="73">
      <c r="A73" s="14">
        <f t="shared" si="2"/>
        <v>70</v>
      </c>
      <c r="B73" s="74">
        <f t="shared" si="3"/>
        <v>45870</v>
      </c>
      <c r="C73" s="48">
        <v>45878.0</v>
      </c>
      <c r="D73" s="57">
        <f t="shared" si="4"/>
        <v>45878</v>
      </c>
      <c r="E73" s="59" t="s">
        <v>122</v>
      </c>
      <c r="F73" s="59" t="s">
        <v>122</v>
      </c>
      <c r="G73" s="59" t="s">
        <v>122</v>
      </c>
      <c r="H73" s="59" t="s">
        <v>122</v>
      </c>
      <c r="I73" s="59" t="s">
        <v>122</v>
      </c>
      <c r="J73" s="59" t="s">
        <v>122</v>
      </c>
      <c r="K73" s="59" t="s">
        <v>122</v>
      </c>
      <c r="L73" s="59" t="s">
        <v>122</v>
      </c>
      <c r="M73" s="59" t="s">
        <v>122</v>
      </c>
      <c r="N73" s="59" t="s">
        <v>122</v>
      </c>
      <c r="O73" s="59" t="s">
        <v>122</v>
      </c>
      <c r="P73" s="59" t="s">
        <v>122</v>
      </c>
      <c r="Q73" s="59" t="s">
        <v>122</v>
      </c>
      <c r="R73" s="59" t="s">
        <v>122</v>
      </c>
      <c r="S73" s="59" t="s">
        <v>122</v>
      </c>
      <c r="T73" s="59" t="s">
        <v>122</v>
      </c>
      <c r="U73" s="59" t="s">
        <v>122</v>
      </c>
      <c r="V73" s="59" t="s">
        <v>122</v>
      </c>
      <c r="W73" s="59" t="s">
        <v>122</v>
      </c>
      <c r="X73" s="59" t="s">
        <v>122</v>
      </c>
      <c r="Y73" s="59" t="s">
        <v>122</v>
      </c>
      <c r="Z73" s="59" t="s">
        <v>122</v>
      </c>
      <c r="AA73" s="59" t="s">
        <v>122</v>
      </c>
      <c r="AB73" s="59" t="s">
        <v>122</v>
      </c>
      <c r="AC73" s="59" t="s">
        <v>122</v>
      </c>
      <c r="AD73" s="59" t="s">
        <v>122</v>
      </c>
      <c r="AE73" s="59" t="s">
        <v>122</v>
      </c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62"/>
      <c r="BE73" s="62"/>
      <c r="BF73" s="62"/>
      <c r="BG73" s="56">
        <f t="shared" si="5"/>
        <v>0</v>
      </c>
      <c r="BH73" s="42">
        <f t="shared" si="6"/>
        <v>0</v>
      </c>
      <c r="BI73" s="43" t="str">
        <f t="shared" si="7"/>
        <v>#DIV/0!</v>
      </c>
      <c r="BJ73" s="44">
        <f t="shared" si="8"/>
        <v>0</v>
      </c>
      <c r="BK73" s="42">
        <f t="shared" si="9"/>
        <v>0</v>
      </c>
      <c r="BL73" s="63"/>
      <c r="BM73" s="28"/>
      <c r="BN73" s="28"/>
      <c r="BO73" s="28"/>
    </row>
    <row r="74">
      <c r="A74" s="14">
        <f t="shared" si="2"/>
        <v>71</v>
      </c>
      <c r="B74" s="74">
        <f t="shared" si="3"/>
        <v>45870</v>
      </c>
      <c r="C74" s="48">
        <v>45879.0</v>
      </c>
      <c r="D74" s="49">
        <f t="shared" si="4"/>
        <v>45879</v>
      </c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64"/>
      <c r="BE74" s="64"/>
      <c r="BF74" s="64"/>
      <c r="BG74" s="56">
        <f t="shared" si="5"/>
        <v>0</v>
      </c>
      <c r="BH74" s="42">
        <f t="shared" si="6"/>
        <v>0</v>
      </c>
      <c r="BI74" s="43" t="str">
        <f t="shared" si="7"/>
        <v>#DIV/0!</v>
      </c>
      <c r="BJ74" s="44">
        <f t="shared" si="8"/>
        <v>0</v>
      </c>
      <c r="BK74" s="42">
        <f t="shared" si="9"/>
        <v>0</v>
      </c>
      <c r="BL74" s="63"/>
      <c r="BM74" s="28"/>
      <c r="BN74" s="28"/>
      <c r="BO74" s="28"/>
    </row>
    <row r="75">
      <c r="A75" s="14">
        <f t="shared" si="2"/>
        <v>72</v>
      </c>
      <c r="B75" s="74">
        <f t="shared" si="3"/>
        <v>45870</v>
      </c>
      <c r="C75" s="48">
        <v>45880.0</v>
      </c>
      <c r="D75" s="57">
        <f t="shared" si="4"/>
        <v>45880</v>
      </c>
      <c r="E75" s="59" t="s">
        <v>120</v>
      </c>
      <c r="F75" s="59" t="s">
        <v>120</v>
      </c>
      <c r="G75" s="59" t="s">
        <v>120</v>
      </c>
      <c r="H75" s="59" t="s">
        <v>120</v>
      </c>
      <c r="I75" s="59" t="s">
        <v>120</v>
      </c>
      <c r="J75" s="59" t="s">
        <v>120</v>
      </c>
      <c r="K75" s="59" t="s">
        <v>120</v>
      </c>
      <c r="L75" s="59" t="s">
        <v>120</v>
      </c>
      <c r="M75" s="59" t="s">
        <v>121</v>
      </c>
      <c r="N75" s="59" t="s">
        <v>120</v>
      </c>
      <c r="O75" s="59" t="s">
        <v>120</v>
      </c>
      <c r="P75" s="59" t="s">
        <v>120</v>
      </c>
      <c r="Q75" s="59" t="s">
        <v>120</v>
      </c>
      <c r="R75" s="59" t="s">
        <v>120</v>
      </c>
      <c r="S75" s="59" t="s">
        <v>121</v>
      </c>
      <c r="T75" s="59" t="s">
        <v>121</v>
      </c>
      <c r="U75" s="59" t="s">
        <v>120</v>
      </c>
      <c r="V75" s="59" t="s">
        <v>120</v>
      </c>
      <c r="W75" s="59" t="s">
        <v>120</v>
      </c>
      <c r="X75" s="59" t="s">
        <v>120</v>
      </c>
      <c r="Y75" s="59" t="s">
        <v>121</v>
      </c>
      <c r="Z75" s="59" t="s">
        <v>121</v>
      </c>
      <c r="AA75" s="59" t="s">
        <v>120</v>
      </c>
      <c r="AB75" s="59" t="s">
        <v>120</v>
      </c>
      <c r="AC75" s="59" t="s">
        <v>120</v>
      </c>
      <c r="AD75" s="59" t="s">
        <v>121</v>
      </c>
      <c r="AE75" s="59" t="s">
        <v>120</v>
      </c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62"/>
      <c r="BE75" s="62"/>
      <c r="BF75" s="62"/>
      <c r="BG75" s="56">
        <f t="shared" si="5"/>
        <v>27</v>
      </c>
      <c r="BH75" s="42">
        <f t="shared" si="6"/>
        <v>21</v>
      </c>
      <c r="BI75" s="43">
        <f t="shared" si="7"/>
        <v>0.7777777778</v>
      </c>
      <c r="BJ75" s="44">
        <f t="shared" si="8"/>
        <v>6</v>
      </c>
      <c r="BK75" s="42">
        <f t="shared" si="9"/>
        <v>0</v>
      </c>
      <c r="BL75" s="63"/>
      <c r="BM75" s="28"/>
      <c r="BN75" s="28"/>
      <c r="BO75" s="28"/>
    </row>
    <row r="76">
      <c r="A76" s="14">
        <f t="shared" si="2"/>
        <v>73</v>
      </c>
      <c r="B76" s="74">
        <f t="shared" si="3"/>
        <v>45870</v>
      </c>
      <c r="C76" s="48">
        <v>45881.0</v>
      </c>
      <c r="D76" s="57">
        <f t="shared" si="4"/>
        <v>45881</v>
      </c>
      <c r="E76" s="59" t="s">
        <v>120</v>
      </c>
      <c r="F76" s="59" t="s">
        <v>120</v>
      </c>
      <c r="G76" s="59" t="s">
        <v>120</v>
      </c>
      <c r="H76" s="59" t="s">
        <v>120</v>
      </c>
      <c r="I76" s="59" t="s">
        <v>120</v>
      </c>
      <c r="J76" s="59" t="s">
        <v>120</v>
      </c>
      <c r="K76" s="59" t="s">
        <v>120</v>
      </c>
      <c r="L76" s="59" t="s">
        <v>120</v>
      </c>
      <c r="M76" s="59" t="s">
        <v>121</v>
      </c>
      <c r="N76" s="59" t="s">
        <v>120</v>
      </c>
      <c r="O76" s="59" t="s">
        <v>120</v>
      </c>
      <c r="P76" s="59" t="s">
        <v>121</v>
      </c>
      <c r="Q76" s="59" t="s">
        <v>120</v>
      </c>
      <c r="R76" s="59" t="s">
        <v>121</v>
      </c>
      <c r="S76" s="59" t="s">
        <v>120</v>
      </c>
      <c r="T76" s="59" t="s">
        <v>120</v>
      </c>
      <c r="U76" s="59" t="s">
        <v>120</v>
      </c>
      <c r="V76" s="59" t="s">
        <v>120</v>
      </c>
      <c r="W76" s="59" t="s">
        <v>121</v>
      </c>
      <c r="X76" s="59" t="s">
        <v>120</v>
      </c>
      <c r="Y76" s="59" t="s">
        <v>121</v>
      </c>
      <c r="Z76" s="59" t="s">
        <v>120</v>
      </c>
      <c r="AA76" s="59" t="s">
        <v>120</v>
      </c>
      <c r="AB76" s="59" t="s">
        <v>120</v>
      </c>
      <c r="AC76" s="59" t="s">
        <v>121</v>
      </c>
      <c r="AD76" s="59" t="s">
        <v>120</v>
      </c>
      <c r="AE76" s="59" t="s">
        <v>121</v>
      </c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62"/>
      <c r="BE76" s="62"/>
      <c r="BF76" s="62"/>
      <c r="BG76" s="56">
        <f t="shared" si="5"/>
        <v>27</v>
      </c>
      <c r="BH76" s="42">
        <f t="shared" si="6"/>
        <v>20</v>
      </c>
      <c r="BI76" s="43">
        <f t="shared" si="7"/>
        <v>0.7407407407</v>
      </c>
      <c r="BJ76" s="44">
        <f t="shared" si="8"/>
        <v>7</v>
      </c>
      <c r="BK76" s="42">
        <f t="shared" si="9"/>
        <v>0</v>
      </c>
      <c r="BL76" s="63"/>
      <c r="BM76" s="28"/>
      <c r="BN76" s="28"/>
      <c r="BO76" s="28"/>
    </row>
    <row r="77">
      <c r="A77" s="14">
        <f t="shared" si="2"/>
        <v>74</v>
      </c>
      <c r="B77" s="74">
        <f t="shared" si="3"/>
        <v>45870</v>
      </c>
      <c r="C77" s="48">
        <v>45882.0</v>
      </c>
      <c r="D77" s="57">
        <f t="shared" si="4"/>
        <v>45882</v>
      </c>
      <c r="E77" s="59" t="s">
        <v>121</v>
      </c>
      <c r="F77" s="59" t="s">
        <v>120</v>
      </c>
      <c r="G77" s="59" t="s">
        <v>120</v>
      </c>
      <c r="H77" s="59" t="s">
        <v>120</v>
      </c>
      <c r="I77" s="59" t="s">
        <v>120</v>
      </c>
      <c r="J77" s="59" t="s">
        <v>120</v>
      </c>
      <c r="K77" s="59" t="s">
        <v>120</v>
      </c>
      <c r="L77" s="59" t="s">
        <v>120</v>
      </c>
      <c r="M77" s="59" t="s">
        <v>121</v>
      </c>
      <c r="N77" s="59" t="s">
        <v>120</v>
      </c>
      <c r="O77" s="59" t="s">
        <v>120</v>
      </c>
      <c r="P77" s="59" t="s">
        <v>120</v>
      </c>
      <c r="Q77" s="59" t="s">
        <v>121</v>
      </c>
      <c r="R77" s="59" t="s">
        <v>120</v>
      </c>
      <c r="S77" s="59" t="s">
        <v>120</v>
      </c>
      <c r="T77" s="59" t="s">
        <v>120</v>
      </c>
      <c r="U77" s="59" t="s">
        <v>120</v>
      </c>
      <c r="V77" s="59" t="s">
        <v>120</v>
      </c>
      <c r="W77" s="59" t="s">
        <v>120</v>
      </c>
      <c r="X77" s="59" t="s">
        <v>120</v>
      </c>
      <c r="Y77" s="59" t="s">
        <v>120</v>
      </c>
      <c r="Z77" s="59" t="s">
        <v>120</v>
      </c>
      <c r="AA77" s="59" t="s">
        <v>120</v>
      </c>
      <c r="AB77" s="59" t="s">
        <v>120</v>
      </c>
      <c r="AC77" s="59" t="s">
        <v>120</v>
      </c>
      <c r="AD77" s="59" t="s">
        <v>120</v>
      </c>
      <c r="AE77" s="59" t="s">
        <v>121</v>
      </c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62"/>
      <c r="BE77" s="62"/>
      <c r="BF77" s="62"/>
      <c r="BG77" s="56">
        <f t="shared" si="5"/>
        <v>27</v>
      </c>
      <c r="BH77" s="42">
        <f t="shared" si="6"/>
        <v>23</v>
      </c>
      <c r="BI77" s="43">
        <f t="shared" si="7"/>
        <v>0.8518518519</v>
      </c>
      <c r="BJ77" s="44">
        <f t="shared" si="8"/>
        <v>4</v>
      </c>
      <c r="BK77" s="42">
        <f t="shared" si="9"/>
        <v>0</v>
      </c>
      <c r="BL77" s="28"/>
      <c r="BM77" s="28"/>
      <c r="BN77" s="28"/>
      <c r="BO77" s="28"/>
    </row>
    <row r="78">
      <c r="A78" s="14">
        <f t="shared" si="2"/>
        <v>75</v>
      </c>
      <c r="B78" s="74">
        <f t="shared" si="3"/>
        <v>45870</v>
      </c>
      <c r="C78" s="48">
        <v>45883.0</v>
      </c>
      <c r="D78" s="57">
        <f t="shared" si="4"/>
        <v>45883</v>
      </c>
      <c r="E78" s="59" t="s">
        <v>121</v>
      </c>
      <c r="F78" s="59" t="s">
        <v>120</v>
      </c>
      <c r="G78" s="59" t="s">
        <v>120</v>
      </c>
      <c r="H78" s="59" t="s">
        <v>121</v>
      </c>
      <c r="I78" s="59" t="s">
        <v>120</v>
      </c>
      <c r="J78" s="59" t="s">
        <v>120</v>
      </c>
      <c r="K78" s="59" t="s">
        <v>120</v>
      </c>
      <c r="L78" s="59" t="s">
        <v>121</v>
      </c>
      <c r="M78" s="59" t="s">
        <v>120</v>
      </c>
      <c r="N78" s="59" t="s">
        <v>120</v>
      </c>
      <c r="O78" s="59" t="s">
        <v>120</v>
      </c>
      <c r="P78" s="59" t="s">
        <v>120</v>
      </c>
      <c r="Q78" s="59" t="s">
        <v>120</v>
      </c>
      <c r="R78" s="59" t="s">
        <v>121</v>
      </c>
      <c r="S78" s="59" t="s">
        <v>120</v>
      </c>
      <c r="T78" s="59" t="s">
        <v>120</v>
      </c>
      <c r="U78" s="59" t="s">
        <v>121</v>
      </c>
      <c r="V78" s="59" t="s">
        <v>120</v>
      </c>
      <c r="W78" s="59" t="s">
        <v>121</v>
      </c>
      <c r="X78" s="59" t="s">
        <v>120</v>
      </c>
      <c r="Y78" s="59" t="s">
        <v>120</v>
      </c>
      <c r="Z78" s="59" t="s">
        <v>120</v>
      </c>
      <c r="AA78" s="59" t="s">
        <v>120</v>
      </c>
      <c r="AB78" s="59" t="s">
        <v>120</v>
      </c>
      <c r="AC78" s="59" t="s">
        <v>121</v>
      </c>
      <c r="AD78" s="59" t="s">
        <v>120</v>
      </c>
      <c r="AE78" s="59" t="s">
        <v>120</v>
      </c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62"/>
      <c r="BE78" s="62"/>
      <c r="BF78" s="62"/>
      <c r="BG78" s="56">
        <f t="shared" si="5"/>
        <v>27</v>
      </c>
      <c r="BH78" s="42">
        <f t="shared" si="6"/>
        <v>20</v>
      </c>
      <c r="BI78" s="43">
        <f t="shared" si="7"/>
        <v>0.7407407407</v>
      </c>
      <c r="BJ78" s="44">
        <f t="shared" si="8"/>
        <v>7</v>
      </c>
      <c r="BK78" s="42">
        <f t="shared" si="9"/>
        <v>0</v>
      </c>
      <c r="BL78" s="28"/>
      <c r="BM78" s="28"/>
      <c r="BN78" s="28"/>
      <c r="BO78" s="28"/>
    </row>
    <row r="79">
      <c r="A79" s="14">
        <f t="shared" si="2"/>
        <v>76</v>
      </c>
      <c r="B79" s="74">
        <f t="shared" si="3"/>
        <v>45870</v>
      </c>
      <c r="C79" s="48">
        <v>45884.0</v>
      </c>
      <c r="D79" s="57">
        <f t="shared" si="4"/>
        <v>45884</v>
      </c>
      <c r="E79" s="59" t="s">
        <v>121</v>
      </c>
      <c r="F79" s="59" t="s">
        <v>120</v>
      </c>
      <c r="G79" s="59" t="s">
        <v>120</v>
      </c>
      <c r="H79" s="59" t="s">
        <v>120</v>
      </c>
      <c r="I79" s="59" t="s">
        <v>120</v>
      </c>
      <c r="J79" s="59" t="s">
        <v>120</v>
      </c>
      <c r="K79" s="59" t="s">
        <v>120</v>
      </c>
      <c r="L79" s="59" t="s">
        <v>120</v>
      </c>
      <c r="M79" s="59" t="s">
        <v>120</v>
      </c>
      <c r="N79" s="59" t="s">
        <v>120</v>
      </c>
      <c r="O79" s="59" t="s">
        <v>120</v>
      </c>
      <c r="P79" s="59" t="s">
        <v>120</v>
      </c>
      <c r="Q79" s="59" t="s">
        <v>120</v>
      </c>
      <c r="R79" s="59" t="s">
        <v>120</v>
      </c>
      <c r="S79" s="59" t="s">
        <v>120</v>
      </c>
      <c r="T79" s="59" t="s">
        <v>120</v>
      </c>
      <c r="U79" s="59" t="s">
        <v>121</v>
      </c>
      <c r="V79" s="59" t="s">
        <v>120</v>
      </c>
      <c r="W79" s="59" t="s">
        <v>120</v>
      </c>
      <c r="X79" s="59" t="s">
        <v>120</v>
      </c>
      <c r="Y79" s="59" t="s">
        <v>120</v>
      </c>
      <c r="Z79" s="59" t="s">
        <v>120</v>
      </c>
      <c r="AA79" s="59" t="s">
        <v>120</v>
      </c>
      <c r="AB79" s="59" t="s">
        <v>120</v>
      </c>
      <c r="AC79" s="59" t="s">
        <v>121</v>
      </c>
      <c r="AD79" s="59" t="s">
        <v>120</v>
      </c>
      <c r="AE79" s="59" t="s">
        <v>120</v>
      </c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62"/>
      <c r="BE79" s="62"/>
      <c r="BF79" s="62"/>
      <c r="BG79" s="56">
        <f t="shared" si="5"/>
        <v>27</v>
      </c>
      <c r="BH79" s="42">
        <f t="shared" si="6"/>
        <v>24</v>
      </c>
      <c r="BI79" s="43">
        <f t="shared" si="7"/>
        <v>0.8888888889</v>
      </c>
      <c r="BJ79" s="44">
        <f t="shared" si="8"/>
        <v>3</v>
      </c>
      <c r="BK79" s="42">
        <f t="shared" si="9"/>
        <v>0</v>
      </c>
      <c r="BL79" s="28"/>
      <c r="BM79" s="28"/>
      <c r="BN79" s="28"/>
      <c r="BO79" s="28"/>
    </row>
    <row r="80">
      <c r="A80" s="14">
        <f t="shared" si="2"/>
        <v>77</v>
      </c>
      <c r="B80" s="74">
        <f t="shared" si="3"/>
        <v>45870</v>
      </c>
      <c r="C80" s="48">
        <v>45885.0</v>
      </c>
      <c r="D80" s="57">
        <f t="shared" si="4"/>
        <v>45885</v>
      </c>
      <c r="E80" s="59" t="s">
        <v>121</v>
      </c>
      <c r="F80" s="59" t="s">
        <v>120</v>
      </c>
      <c r="G80" s="59" t="s">
        <v>120</v>
      </c>
      <c r="H80" s="59" t="s">
        <v>120</v>
      </c>
      <c r="I80" s="59" t="s">
        <v>120</v>
      </c>
      <c r="J80" s="59" t="s">
        <v>120</v>
      </c>
      <c r="K80" s="59" t="s">
        <v>120</v>
      </c>
      <c r="L80" s="59" t="s">
        <v>120</v>
      </c>
      <c r="M80" s="59" t="s">
        <v>120</v>
      </c>
      <c r="N80" s="59" t="s">
        <v>120</v>
      </c>
      <c r="O80" s="59" t="s">
        <v>120</v>
      </c>
      <c r="P80" s="59" t="s">
        <v>120</v>
      </c>
      <c r="Q80" s="59" t="s">
        <v>120</v>
      </c>
      <c r="R80" s="59" t="s">
        <v>120</v>
      </c>
      <c r="S80" s="59" t="s">
        <v>120</v>
      </c>
      <c r="T80" s="59" t="s">
        <v>120</v>
      </c>
      <c r="U80" s="59" t="s">
        <v>120</v>
      </c>
      <c r="V80" s="59" t="s">
        <v>120</v>
      </c>
      <c r="W80" s="59" t="s">
        <v>120</v>
      </c>
      <c r="X80" s="59" t="s">
        <v>120</v>
      </c>
      <c r="Y80" s="59" t="s">
        <v>120</v>
      </c>
      <c r="Z80" s="59" t="s">
        <v>120</v>
      </c>
      <c r="AA80" s="59" t="s">
        <v>120</v>
      </c>
      <c r="AB80" s="59" t="s">
        <v>120</v>
      </c>
      <c r="AC80" s="59" t="s">
        <v>121</v>
      </c>
      <c r="AD80" s="59" t="s">
        <v>120</v>
      </c>
      <c r="AE80" s="59" t="s">
        <v>121</v>
      </c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62"/>
      <c r="BE80" s="62"/>
      <c r="BF80" s="62"/>
      <c r="BG80" s="56">
        <f t="shared" si="5"/>
        <v>27</v>
      </c>
      <c r="BH80" s="42">
        <f t="shared" si="6"/>
        <v>24</v>
      </c>
      <c r="BI80" s="43">
        <f t="shared" si="7"/>
        <v>0.8888888889</v>
      </c>
      <c r="BJ80" s="44">
        <f t="shared" si="8"/>
        <v>3</v>
      </c>
      <c r="BK80" s="42">
        <f t="shared" si="9"/>
        <v>0</v>
      </c>
      <c r="BL80" s="28"/>
      <c r="BM80" s="28"/>
      <c r="BN80" s="28"/>
      <c r="BO80" s="46"/>
    </row>
    <row r="81">
      <c r="A81" s="14">
        <f t="shared" si="2"/>
        <v>78</v>
      </c>
      <c r="B81" s="74">
        <f t="shared" si="3"/>
        <v>45870</v>
      </c>
      <c r="C81" s="48">
        <v>45886.0</v>
      </c>
      <c r="D81" s="49">
        <f t="shared" si="4"/>
        <v>45886</v>
      </c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64"/>
      <c r="BE81" s="64"/>
      <c r="BF81" s="64"/>
      <c r="BG81" s="56">
        <f t="shared" si="5"/>
        <v>0</v>
      </c>
      <c r="BH81" s="42">
        <f t="shared" si="6"/>
        <v>0</v>
      </c>
      <c r="BI81" s="43" t="str">
        <f t="shared" si="7"/>
        <v>#DIV/0!</v>
      </c>
      <c r="BJ81" s="44">
        <f t="shared" si="8"/>
        <v>0</v>
      </c>
      <c r="BK81" s="42">
        <f t="shared" si="9"/>
        <v>0</v>
      </c>
      <c r="BL81" s="28"/>
      <c r="BM81" s="28"/>
      <c r="BN81" s="28"/>
      <c r="BO81" s="46"/>
    </row>
    <row r="82">
      <c r="A82" s="14">
        <f t="shared" si="2"/>
        <v>79</v>
      </c>
      <c r="B82" s="74">
        <f t="shared" si="3"/>
        <v>45870</v>
      </c>
      <c r="C82" s="48">
        <v>45887.0</v>
      </c>
      <c r="D82" s="57">
        <f t="shared" si="4"/>
        <v>45887</v>
      </c>
      <c r="E82" s="59" t="s">
        <v>122</v>
      </c>
      <c r="F82" s="59" t="s">
        <v>122</v>
      </c>
      <c r="G82" s="59" t="s">
        <v>122</v>
      </c>
      <c r="H82" s="59" t="s">
        <v>122</v>
      </c>
      <c r="I82" s="59" t="s">
        <v>122</v>
      </c>
      <c r="J82" s="59" t="s">
        <v>122</v>
      </c>
      <c r="K82" s="59" t="s">
        <v>122</v>
      </c>
      <c r="L82" s="59" t="s">
        <v>122</v>
      </c>
      <c r="M82" s="59" t="s">
        <v>122</v>
      </c>
      <c r="N82" s="59" t="s">
        <v>122</v>
      </c>
      <c r="O82" s="59" t="s">
        <v>122</v>
      </c>
      <c r="P82" s="59" t="s">
        <v>122</v>
      </c>
      <c r="Q82" s="59" t="s">
        <v>122</v>
      </c>
      <c r="R82" s="59" t="s">
        <v>122</v>
      </c>
      <c r="S82" s="59" t="s">
        <v>122</v>
      </c>
      <c r="T82" s="59" t="s">
        <v>122</v>
      </c>
      <c r="U82" s="59" t="s">
        <v>122</v>
      </c>
      <c r="V82" s="59" t="s">
        <v>122</v>
      </c>
      <c r="W82" s="59" t="s">
        <v>122</v>
      </c>
      <c r="X82" s="59" t="s">
        <v>122</v>
      </c>
      <c r="Y82" s="59" t="s">
        <v>122</v>
      </c>
      <c r="Z82" s="59" t="s">
        <v>122</v>
      </c>
      <c r="AA82" s="59" t="s">
        <v>122</v>
      </c>
      <c r="AB82" s="59" t="s">
        <v>122</v>
      </c>
      <c r="AC82" s="59" t="s">
        <v>122</v>
      </c>
      <c r="AD82" s="59" t="s">
        <v>122</v>
      </c>
      <c r="AE82" s="59" t="s">
        <v>122</v>
      </c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62"/>
      <c r="BE82" s="62"/>
      <c r="BF82" s="62"/>
      <c r="BG82" s="56">
        <f t="shared" si="5"/>
        <v>0</v>
      </c>
      <c r="BH82" s="42">
        <f t="shared" si="6"/>
        <v>0</v>
      </c>
      <c r="BI82" s="43" t="str">
        <f t="shared" si="7"/>
        <v>#DIV/0!</v>
      </c>
      <c r="BJ82" s="44">
        <f t="shared" si="8"/>
        <v>0</v>
      </c>
      <c r="BK82" s="42">
        <f t="shared" si="9"/>
        <v>0</v>
      </c>
      <c r="BL82" s="28"/>
      <c r="BM82" s="28"/>
      <c r="BN82" s="28"/>
      <c r="BO82" s="46"/>
    </row>
    <row r="83">
      <c r="A83" s="14">
        <f t="shared" si="2"/>
        <v>80</v>
      </c>
      <c r="B83" s="74">
        <f t="shared" si="3"/>
        <v>45870</v>
      </c>
      <c r="C83" s="48">
        <v>45888.0</v>
      </c>
      <c r="D83" s="57">
        <f t="shared" si="4"/>
        <v>45888</v>
      </c>
      <c r="E83" s="58" t="s">
        <v>122</v>
      </c>
      <c r="F83" s="58" t="s">
        <v>122</v>
      </c>
      <c r="G83" s="58" t="s">
        <v>122</v>
      </c>
      <c r="H83" s="59" t="s">
        <v>122</v>
      </c>
      <c r="I83" s="59" t="s">
        <v>122</v>
      </c>
      <c r="J83" s="59" t="s">
        <v>122</v>
      </c>
      <c r="K83" s="59" t="s">
        <v>122</v>
      </c>
      <c r="L83" s="59" t="s">
        <v>122</v>
      </c>
      <c r="M83" s="59" t="s">
        <v>122</v>
      </c>
      <c r="N83" s="59" t="s">
        <v>122</v>
      </c>
      <c r="O83" s="59" t="s">
        <v>122</v>
      </c>
      <c r="P83" s="59" t="s">
        <v>122</v>
      </c>
      <c r="Q83" s="59" t="s">
        <v>122</v>
      </c>
      <c r="R83" s="59" t="s">
        <v>122</v>
      </c>
      <c r="S83" s="59" t="s">
        <v>122</v>
      </c>
      <c r="T83" s="59" t="s">
        <v>122</v>
      </c>
      <c r="U83" s="59" t="s">
        <v>122</v>
      </c>
      <c r="V83" s="59" t="s">
        <v>122</v>
      </c>
      <c r="W83" s="59" t="s">
        <v>122</v>
      </c>
      <c r="X83" s="59" t="s">
        <v>122</v>
      </c>
      <c r="Y83" s="59" t="s">
        <v>122</v>
      </c>
      <c r="Z83" s="59" t="s">
        <v>122</v>
      </c>
      <c r="AA83" s="59" t="s">
        <v>122</v>
      </c>
      <c r="AB83" s="59" t="s">
        <v>122</v>
      </c>
      <c r="AC83" s="59" t="s">
        <v>122</v>
      </c>
      <c r="AD83" s="59" t="s">
        <v>122</v>
      </c>
      <c r="AE83" s="58" t="s">
        <v>122</v>
      </c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62"/>
      <c r="BE83" s="62"/>
      <c r="BF83" s="62"/>
      <c r="BG83" s="56">
        <f t="shared" si="5"/>
        <v>0</v>
      </c>
      <c r="BH83" s="42">
        <f t="shared" si="6"/>
        <v>0</v>
      </c>
      <c r="BI83" s="43" t="str">
        <f t="shared" si="7"/>
        <v>#DIV/0!</v>
      </c>
      <c r="BJ83" s="44">
        <f t="shared" si="8"/>
        <v>0</v>
      </c>
      <c r="BK83" s="42">
        <f t="shared" si="9"/>
        <v>0</v>
      </c>
      <c r="BL83" s="28"/>
      <c r="BM83" s="28"/>
      <c r="BN83" s="28"/>
      <c r="BO83" s="46"/>
    </row>
    <row r="84">
      <c r="A84" s="14">
        <f t="shared" si="2"/>
        <v>81</v>
      </c>
      <c r="B84" s="74">
        <f t="shared" si="3"/>
        <v>45870</v>
      </c>
      <c r="C84" s="48">
        <v>45889.0</v>
      </c>
      <c r="D84" s="57">
        <f t="shared" si="4"/>
        <v>45889</v>
      </c>
      <c r="E84" s="59" t="s">
        <v>121</v>
      </c>
      <c r="F84" s="59" t="s">
        <v>121</v>
      </c>
      <c r="G84" s="59" t="s">
        <v>121</v>
      </c>
      <c r="H84" s="59" t="s">
        <v>121</v>
      </c>
      <c r="I84" s="59" t="s">
        <v>120</v>
      </c>
      <c r="J84" s="59" t="s">
        <v>120</v>
      </c>
      <c r="K84" s="59" t="s">
        <v>120</v>
      </c>
      <c r="L84" s="59" t="s">
        <v>120</v>
      </c>
      <c r="M84" s="59" t="s">
        <v>121</v>
      </c>
      <c r="N84" s="59" t="s">
        <v>120</v>
      </c>
      <c r="O84" s="59" t="s">
        <v>120</v>
      </c>
      <c r="P84" s="59" t="s">
        <v>121</v>
      </c>
      <c r="Q84" s="59" t="s">
        <v>120</v>
      </c>
      <c r="R84" s="59" t="s">
        <v>121</v>
      </c>
      <c r="S84" s="59" t="s">
        <v>121</v>
      </c>
      <c r="T84" s="59" t="s">
        <v>120</v>
      </c>
      <c r="U84" s="59" t="s">
        <v>121</v>
      </c>
      <c r="V84" s="59" t="s">
        <v>120</v>
      </c>
      <c r="W84" s="59" t="s">
        <v>121</v>
      </c>
      <c r="X84" s="59" t="s">
        <v>120</v>
      </c>
      <c r="Y84" s="59" t="s">
        <v>120</v>
      </c>
      <c r="Z84" s="59" t="s">
        <v>121</v>
      </c>
      <c r="AA84" s="59" t="s">
        <v>120</v>
      </c>
      <c r="AB84" s="59" t="s">
        <v>120</v>
      </c>
      <c r="AC84" s="59" t="s">
        <v>121</v>
      </c>
      <c r="AD84" s="59" t="s">
        <v>121</v>
      </c>
      <c r="AE84" s="59" t="s">
        <v>121</v>
      </c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62"/>
      <c r="BE84" s="62"/>
      <c r="BF84" s="62"/>
      <c r="BG84" s="56">
        <f t="shared" si="5"/>
        <v>27</v>
      </c>
      <c r="BH84" s="42">
        <f t="shared" si="6"/>
        <v>13</v>
      </c>
      <c r="BI84" s="43">
        <f t="shared" si="7"/>
        <v>0.4814814815</v>
      </c>
      <c r="BJ84" s="44">
        <f t="shared" si="8"/>
        <v>14</v>
      </c>
      <c r="BK84" s="42">
        <f t="shared" si="9"/>
        <v>0</v>
      </c>
      <c r="BL84" s="28"/>
      <c r="BM84" s="28"/>
      <c r="BN84" s="28"/>
      <c r="BO84" s="46"/>
    </row>
    <row r="85">
      <c r="A85" s="14">
        <f t="shared" si="2"/>
        <v>82</v>
      </c>
      <c r="B85" s="74">
        <f t="shared" si="3"/>
        <v>45870</v>
      </c>
      <c r="C85" s="48">
        <v>45890.0</v>
      </c>
      <c r="D85" s="57">
        <f t="shared" si="4"/>
        <v>45890</v>
      </c>
      <c r="E85" s="59" t="s">
        <v>121</v>
      </c>
      <c r="F85" s="59" t="s">
        <v>120</v>
      </c>
      <c r="G85" s="59" t="s">
        <v>120</v>
      </c>
      <c r="H85" s="59" t="s">
        <v>121</v>
      </c>
      <c r="I85" s="59" t="s">
        <v>120</v>
      </c>
      <c r="J85" s="59" t="s">
        <v>120</v>
      </c>
      <c r="K85" s="59" t="s">
        <v>120</v>
      </c>
      <c r="L85" s="59" t="s">
        <v>120</v>
      </c>
      <c r="M85" s="59" t="s">
        <v>121</v>
      </c>
      <c r="N85" s="59" t="s">
        <v>120</v>
      </c>
      <c r="O85" s="59" t="s">
        <v>120</v>
      </c>
      <c r="P85" s="59" t="s">
        <v>120</v>
      </c>
      <c r="Q85" s="59" t="s">
        <v>120</v>
      </c>
      <c r="R85" s="59" t="s">
        <v>120</v>
      </c>
      <c r="S85" s="59" t="s">
        <v>120</v>
      </c>
      <c r="T85" s="59" t="s">
        <v>120</v>
      </c>
      <c r="U85" s="59" t="s">
        <v>121</v>
      </c>
      <c r="V85" s="59" t="s">
        <v>120</v>
      </c>
      <c r="W85" s="59" t="s">
        <v>120</v>
      </c>
      <c r="X85" s="59" t="s">
        <v>120</v>
      </c>
      <c r="Y85" s="59" t="s">
        <v>120</v>
      </c>
      <c r="Z85" s="59" t="s">
        <v>120</v>
      </c>
      <c r="AA85" s="59" t="s">
        <v>120</v>
      </c>
      <c r="AB85" s="59" t="s">
        <v>120</v>
      </c>
      <c r="AC85" s="59" t="s">
        <v>121</v>
      </c>
      <c r="AD85" s="59" t="s">
        <v>120</v>
      </c>
      <c r="AE85" s="59" t="s">
        <v>120</v>
      </c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62"/>
      <c r="BE85" s="62"/>
      <c r="BF85" s="62"/>
      <c r="BG85" s="56">
        <f t="shared" si="5"/>
        <v>27</v>
      </c>
      <c r="BH85" s="42">
        <f t="shared" si="6"/>
        <v>22</v>
      </c>
      <c r="BI85" s="43">
        <f t="shared" si="7"/>
        <v>0.8148148148</v>
      </c>
      <c r="BJ85" s="44">
        <f t="shared" si="8"/>
        <v>5</v>
      </c>
      <c r="BK85" s="42">
        <f t="shared" si="9"/>
        <v>0</v>
      </c>
      <c r="BL85" s="28"/>
      <c r="BM85" s="28"/>
      <c r="BN85" s="28"/>
      <c r="BO85" s="46"/>
    </row>
    <row r="86">
      <c r="A86" s="14">
        <f t="shared" si="2"/>
        <v>83</v>
      </c>
      <c r="B86" s="74">
        <f t="shared" si="3"/>
        <v>45870</v>
      </c>
      <c r="C86" s="48">
        <v>45891.0</v>
      </c>
      <c r="D86" s="57">
        <f t="shared" si="4"/>
        <v>45891</v>
      </c>
      <c r="E86" s="59" t="s">
        <v>121</v>
      </c>
      <c r="F86" s="59" t="s">
        <v>120</v>
      </c>
      <c r="G86" s="59" t="s">
        <v>120</v>
      </c>
      <c r="H86" s="59" t="s">
        <v>121</v>
      </c>
      <c r="I86" s="59" t="s">
        <v>120</v>
      </c>
      <c r="J86" s="59" t="s">
        <v>120</v>
      </c>
      <c r="K86" s="59" t="s">
        <v>120</v>
      </c>
      <c r="L86" s="59" t="s">
        <v>120</v>
      </c>
      <c r="M86" s="59" t="s">
        <v>121</v>
      </c>
      <c r="N86" s="59" t="s">
        <v>120</v>
      </c>
      <c r="O86" s="59" t="s">
        <v>120</v>
      </c>
      <c r="P86" s="59" t="s">
        <v>121</v>
      </c>
      <c r="Q86" s="59" t="s">
        <v>120</v>
      </c>
      <c r="R86" s="59" t="s">
        <v>121</v>
      </c>
      <c r="S86" s="59" t="s">
        <v>120</v>
      </c>
      <c r="T86" s="59" t="s">
        <v>120</v>
      </c>
      <c r="U86" s="59" t="s">
        <v>121</v>
      </c>
      <c r="V86" s="59" t="s">
        <v>120</v>
      </c>
      <c r="W86" s="59" t="s">
        <v>121</v>
      </c>
      <c r="X86" s="59" t="s">
        <v>120</v>
      </c>
      <c r="Y86" s="59" t="s">
        <v>120</v>
      </c>
      <c r="Z86" s="59" t="s">
        <v>120</v>
      </c>
      <c r="AA86" s="59" t="s">
        <v>120</v>
      </c>
      <c r="AB86" s="59" t="s">
        <v>120</v>
      </c>
      <c r="AC86" s="59" t="s">
        <v>121</v>
      </c>
      <c r="AD86" s="59" t="s">
        <v>120</v>
      </c>
      <c r="AE86" s="59" t="s">
        <v>120</v>
      </c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62"/>
      <c r="BE86" s="62"/>
      <c r="BF86" s="62"/>
      <c r="BG86" s="56">
        <f t="shared" si="5"/>
        <v>27</v>
      </c>
      <c r="BH86" s="42">
        <f t="shared" si="6"/>
        <v>19</v>
      </c>
      <c r="BI86" s="43">
        <f t="shared" si="7"/>
        <v>0.7037037037</v>
      </c>
      <c r="BJ86" s="44">
        <f t="shared" si="8"/>
        <v>8</v>
      </c>
      <c r="BK86" s="42">
        <f t="shared" si="9"/>
        <v>0</v>
      </c>
      <c r="BL86" s="28"/>
      <c r="BM86" s="28"/>
      <c r="BN86" s="28"/>
      <c r="BO86" s="28"/>
    </row>
    <row r="87">
      <c r="A87" s="14">
        <f t="shared" si="2"/>
        <v>84</v>
      </c>
      <c r="B87" s="74">
        <f t="shared" si="3"/>
        <v>45870</v>
      </c>
      <c r="C87" s="48">
        <v>45892.0</v>
      </c>
      <c r="D87" s="57">
        <f t="shared" si="4"/>
        <v>45892</v>
      </c>
      <c r="E87" s="59" t="s">
        <v>121</v>
      </c>
      <c r="F87" s="59" t="s">
        <v>120</v>
      </c>
      <c r="G87" s="59" t="s">
        <v>120</v>
      </c>
      <c r="H87" s="59" t="s">
        <v>121</v>
      </c>
      <c r="I87" s="59" t="s">
        <v>121</v>
      </c>
      <c r="J87" s="59" t="s">
        <v>120</v>
      </c>
      <c r="K87" s="59" t="s">
        <v>120</v>
      </c>
      <c r="L87" s="59" t="s">
        <v>120</v>
      </c>
      <c r="M87" s="59" t="s">
        <v>121</v>
      </c>
      <c r="N87" s="59" t="s">
        <v>120</v>
      </c>
      <c r="O87" s="59" t="s">
        <v>120</v>
      </c>
      <c r="P87" s="59" t="s">
        <v>120</v>
      </c>
      <c r="Q87" s="59" t="s">
        <v>120</v>
      </c>
      <c r="R87" s="59" t="s">
        <v>120</v>
      </c>
      <c r="S87" s="59" t="s">
        <v>120</v>
      </c>
      <c r="T87" s="59" t="s">
        <v>120</v>
      </c>
      <c r="U87" s="59" t="s">
        <v>121</v>
      </c>
      <c r="V87" s="59" t="s">
        <v>120</v>
      </c>
      <c r="W87" s="59" t="s">
        <v>120</v>
      </c>
      <c r="X87" s="59" t="s">
        <v>120</v>
      </c>
      <c r="Y87" s="59" t="s">
        <v>120</v>
      </c>
      <c r="Z87" s="59" t="s">
        <v>120</v>
      </c>
      <c r="AA87" s="59" t="s">
        <v>120</v>
      </c>
      <c r="AB87" s="59" t="s">
        <v>120</v>
      </c>
      <c r="AC87" s="59" t="s">
        <v>121</v>
      </c>
      <c r="AD87" s="59" t="s">
        <v>120</v>
      </c>
      <c r="AE87" s="59" t="s">
        <v>120</v>
      </c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62"/>
      <c r="BE87" s="62"/>
      <c r="BF87" s="62"/>
      <c r="BG87" s="56">
        <f t="shared" si="5"/>
        <v>27</v>
      </c>
      <c r="BH87" s="42">
        <f t="shared" si="6"/>
        <v>21</v>
      </c>
      <c r="BI87" s="43">
        <f t="shared" si="7"/>
        <v>0.7777777778</v>
      </c>
      <c r="BJ87" s="44">
        <f t="shared" si="8"/>
        <v>6</v>
      </c>
      <c r="BK87" s="42">
        <f t="shared" si="9"/>
        <v>0</v>
      </c>
      <c r="BL87" s="28"/>
      <c r="BM87" s="28"/>
      <c r="BN87" s="28"/>
      <c r="BO87" s="28"/>
    </row>
    <row r="88">
      <c r="A88" s="14">
        <f t="shared" si="2"/>
        <v>85</v>
      </c>
      <c r="B88" s="74">
        <f t="shared" si="3"/>
        <v>45870</v>
      </c>
      <c r="C88" s="48">
        <v>45893.0</v>
      </c>
      <c r="D88" s="49">
        <f t="shared" si="4"/>
        <v>45893</v>
      </c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64"/>
      <c r="BE88" s="64"/>
      <c r="BF88" s="64"/>
      <c r="BG88" s="56">
        <f t="shared" si="5"/>
        <v>0</v>
      </c>
      <c r="BH88" s="42">
        <f t="shared" si="6"/>
        <v>0</v>
      </c>
      <c r="BI88" s="43" t="str">
        <f t="shared" si="7"/>
        <v>#DIV/0!</v>
      </c>
      <c r="BJ88" s="44">
        <f t="shared" si="8"/>
        <v>0</v>
      </c>
      <c r="BK88" s="42">
        <f t="shared" si="9"/>
        <v>0</v>
      </c>
      <c r="BL88" s="28"/>
      <c r="BM88" s="28"/>
      <c r="BN88" s="28"/>
      <c r="BO88" s="28"/>
    </row>
    <row r="89">
      <c r="A89" s="14">
        <f t="shared" si="2"/>
        <v>86</v>
      </c>
      <c r="B89" s="74">
        <f t="shared" si="3"/>
        <v>45870</v>
      </c>
      <c r="C89" s="48">
        <v>45894.0</v>
      </c>
      <c r="D89" s="57">
        <f t="shared" si="4"/>
        <v>45894</v>
      </c>
      <c r="E89" s="59" t="s">
        <v>121</v>
      </c>
      <c r="F89" s="59" t="s">
        <v>120</v>
      </c>
      <c r="G89" s="59" t="s">
        <v>121</v>
      </c>
      <c r="H89" s="59" t="s">
        <v>121</v>
      </c>
      <c r="I89" s="59" t="s">
        <v>120</v>
      </c>
      <c r="J89" s="59" t="s">
        <v>120</v>
      </c>
      <c r="K89" s="59" t="s">
        <v>120</v>
      </c>
      <c r="L89" s="59" t="s">
        <v>120</v>
      </c>
      <c r="M89" s="59" t="s">
        <v>120</v>
      </c>
      <c r="N89" s="59" t="s">
        <v>120</v>
      </c>
      <c r="O89" s="59" t="s">
        <v>120</v>
      </c>
      <c r="P89" s="59" t="s">
        <v>120</v>
      </c>
      <c r="Q89" s="59" t="s">
        <v>120</v>
      </c>
      <c r="R89" s="59" t="s">
        <v>120</v>
      </c>
      <c r="S89" s="59" t="s">
        <v>120</v>
      </c>
      <c r="T89" s="59" t="s">
        <v>120</v>
      </c>
      <c r="U89" s="59" t="s">
        <v>121</v>
      </c>
      <c r="V89" s="59" t="s">
        <v>120</v>
      </c>
      <c r="W89" s="59" t="s">
        <v>120</v>
      </c>
      <c r="X89" s="59" t="s">
        <v>120</v>
      </c>
      <c r="Y89" s="59" t="s">
        <v>120</v>
      </c>
      <c r="Z89" s="59" t="s">
        <v>120</v>
      </c>
      <c r="AA89" s="59" t="s">
        <v>120</v>
      </c>
      <c r="AB89" s="59" t="s">
        <v>120</v>
      </c>
      <c r="AC89" s="59" t="s">
        <v>120</v>
      </c>
      <c r="AD89" s="59" t="s">
        <v>120</v>
      </c>
      <c r="AE89" s="59" t="s">
        <v>120</v>
      </c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62"/>
      <c r="BE89" s="62"/>
      <c r="BF89" s="62"/>
      <c r="BG89" s="56">
        <f t="shared" si="5"/>
        <v>27</v>
      </c>
      <c r="BH89" s="42">
        <f t="shared" si="6"/>
        <v>23</v>
      </c>
      <c r="BI89" s="43">
        <f t="shared" si="7"/>
        <v>0.8518518519</v>
      </c>
      <c r="BJ89" s="44">
        <f t="shared" si="8"/>
        <v>4</v>
      </c>
      <c r="BK89" s="42">
        <f t="shared" si="9"/>
        <v>0</v>
      </c>
      <c r="BL89" s="28"/>
      <c r="BM89" s="28"/>
      <c r="BN89" s="28"/>
      <c r="BO89" s="28"/>
    </row>
    <row r="90">
      <c r="A90" s="14">
        <f t="shared" si="2"/>
        <v>87</v>
      </c>
      <c r="B90" s="74">
        <f t="shared" si="3"/>
        <v>45870</v>
      </c>
      <c r="C90" s="48">
        <v>45895.0</v>
      </c>
      <c r="D90" s="57">
        <f t="shared" si="4"/>
        <v>45895</v>
      </c>
      <c r="E90" s="59" t="s">
        <v>121</v>
      </c>
      <c r="F90" s="59" t="s">
        <v>120</v>
      </c>
      <c r="G90" s="59" t="s">
        <v>120</v>
      </c>
      <c r="H90" s="59" t="s">
        <v>121</v>
      </c>
      <c r="I90" s="59" t="s">
        <v>120</v>
      </c>
      <c r="J90" s="59" t="s">
        <v>120</v>
      </c>
      <c r="K90" s="59" t="s">
        <v>120</v>
      </c>
      <c r="L90" s="59" t="s">
        <v>120</v>
      </c>
      <c r="M90" s="59" t="s">
        <v>120</v>
      </c>
      <c r="N90" s="59" t="s">
        <v>120</v>
      </c>
      <c r="O90" s="59" t="s">
        <v>120</v>
      </c>
      <c r="P90" s="59" t="s">
        <v>120</v>
      </c>
      <c r="Q90" s="59" t="s">
        <v>120</v>
      </c>
      <c r="R90" s="59" t="s">
        <v>121</v>
      </c>
      <c r="S90" s="59" t="s">
        <v>121</v>
      </c>
      <c r="T90" s="59" t="s">
        <v>120</v>
      </c>
      <c r="U90" s="59" t="s">
        <v>121</v>
      </c>
      <c r="V90" s="59" t="s">
        <v>120</v>
      </c>
      <c r="W90" s="59" t="s">
        <v>121</v>
      </c>
      <c r="X90" s="59" t="s">
        <v>120</v>
      </c>
      <c r="Y90" s="59" t="s">
        <v>120</v>
      </c>
      <c r="Z90" s="59" t="s">
        <v>121</v>
      </c>
      <c r="AA90" s="59" t="s">
        <v>120</v>
      </c>
      <c r="AB90" s="59" t="s">
        <v>120</v>
      </c>
      <c r="AC90" s="59" t="s">
        <v>120</v>
      </c>
      <c r="AD90" s="59" t="s">
        <v>120</v>
      </c>
      <c r="AE90" s="59" t="s">
        <v>120</v>
      </c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62"/>
      <c r="BE90" s="62"/>
      <c r="BF90" s="62"/>
      <c r="BG90" s="56">
        <f t="shared" si="5"/>
        <v>27</v>
      </c>
      <c r="BH90" s="42">
        <f t="shared" si="6"/>
        <v>20</v>
      </c>
      <c r="BI90" s="43">
        <f t="shared" si="7"/>
        <v>0.7407407407</v>
      </c>
      <c r="BJ90" s="44">
        <f t="shared" si="8"/>
        <v>7</v>
      </c>
      <c r="BK90" s="42">
        <f t="shared" si="9"/>
        <v>0</v>
      </c>
      <c r="BL90" s="28"/>
      <c r="BM90" s="28"/>
      <c r="BN90" s="28"/>
      <c r="BO90" s="28"/>
    </row>
    <row r="91">
      <c r="A91" s="14">
        <f t="shared" si="2"/>
        <v>88</v>
      </c>
      <c r="B91" s="74">
        <f t="shared" si="3"/>
        <v>45870</v>
      </c>
      <c r="C91" s="48">
        <v>45896.0</v>
      </c>
      <c r="D91" s="57">
        <f t="shared" si="4"/>
        <v>45896</v>
      </c>
      <c r="E91" s="59" t="s">
        <v>122</v>
      </c>
      <c r="F91" s="59" t="s">
        <v>122</v>
      </c>
      <c r="G91" s="59" t="s">
        <v>122</v>
      </c>
      <c r="H91" s="59" t="s">
        <v>122</v>
      </c>
      <c r="I91" s="59" t="s">
        <v>122</v>
      </c>
      <c r="J91" s="59" t="s">
        <v>122</v>
      </c>
      <c r="K91" s="59" t="s">
        <v>122</v>
      </c>
      <c r="L91" s="59" t="s">
        <v>122</v>
      </c>
      <c r="M91" s="59" t="s">
        <v>122</v>
      </c>
      <c r="N91" s="59" t="s">
        <v>122</v>
      </c>
      <c r="O91" s="59" t="s">
        <v>122</v>
      </c>
      <c r="P91" s="59" t="s">
        <v>122</v>
      </c>
      <c r="Q91" s="59" t="s">
        <v>122</v>
      </c>
      <c r="R91" s="59" t="s">
        <v>122</v>
      </c>
      <c r="S91" s="59" t="s">
        <v>122</v>
      </c>
      <c r="T91" s="59" t="s">
        <v>122</v>
      </c>
      <c r="U91" s="59" t="s">
        <v>122</v>
      </c>
      <c r="V91" s="59" t="s">
        <v>122</v>
      </c>
      <c r="W91" s="59" t="s">
        <v>122</v>
      </c>
      <c r="X91" s="59" t="s">
        <v>122</v>
      </c>
      <c r="Y91" s="59" t="s">
        <v>122</v>
      </c>
      <c r="Z91" s="59" t="s">
        <v>122</v>
      </c>
      <c r="AA91" s="59" t="s">
        <v>122</v>
      </c>
      <c r="AB91" s="59" t="s">
        <v>122</v>
      </c>
      <c r="AC91" s="59" t="s">
        <v>122</v>
      </c>
      <c r="AD91" s="59" t="s">
        <v>122</v>
      </c>
      <c r="AE91" s="59" t="s">
        <v>122</v>
      </c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62"/>
      <c r="BE91" s="62"/>
      <c r="BF91" s="62"/>
      <c r="BG91" s="56">
        <f t="shared" si="5"/>
        <v>0</v>
      </c>
      <c r="BH91" s="42">
        <f t="shared" si="6"/>
        <v>0</v>
      </c>
      <c r="BI91" s="43" t="str">
        <f t="shared" si="7"/>
        <v>#DIV/0!</v>
      </c>
      <c r="BJ91" s="44">
        <f t="shared" si="8"/>
        <v>0</v>
      </c>
      <c r="BK91" s="42">
        <f t="shared" si="9"/>
        <v>0</v>
      </c>
      <c r="BL91" s="28"/>
      <c r="BM91" s="28"/>
      <c r="BN91" s="28"/>
      <c r="BO91" s="28"/>
    </row>
    <row r="92">
      <c r="A92" s="14">
        <f t="shared" si="2"/>
        <v>89</v>
      </c>
      <c r="B92" s="74">
        <f t="shared" si="3"/>
        <v>45870</v>
      </c>
      <c r="C92" s="48">
        <v>45897.0</v>
      </c>
      <c r="D92" s="57">
        <f t="shared" si="4"/>
        <v>45897</v>
      </c>
      <c r="E92" s="59" t="s">
        <v>122</v>
      </c>
      <c r="F92" s="59" t="s">
        <v>122</v>
      </c>
      <c r="G92" s="59" t="s">
        <v>122</v>
      </c>
      <c r="H92" s="59" t="s">
        <v>122</v>
      </c>
      <c r="I92" s="59" t="s">
        <v>122</v>
      </c>
      <c r="J92" s="59" t="s">
        <v>122</v>
      </c>
      <c r="K92" s="59" t="s">
        <v>122</v>
      </c>
      <c r="L92" s="59" t="s">
        <v>122</v>
      </c>
      <c r="M92" s="59" t="s">
        <v>122</v>
      </c>
      <c r="N92" s="59" t="s">
        <v>122</v>
      </c>
      <c r="O92" s="59" t="s">
        <v>122</v>
      </c>
      <c r="P92" s="59" t="s">
        <v>122</v>
      </c>
      <c r="Q92" s="59" t="s">
        <v>122</v>
      </c>
      <c r="R92" s="59" t="s">
        <v>122</v>
      </c>
      <c r="S92" s="59" t="s">
        <v>122</v>
      </c>
      <c r="T92" s="59" t="s">
        <v>122</v>
      </c>
      <c r="U92" s="59" t="s">
        <v>122</v>
      </c>
      <c r="V92" s="59" t="s">
        <v>122</v>
      </c>
      <c r="W92" s="59" t="s">
        <v>122</v>
      </c>
      <c r="X92" s="59" t="s">
        <v>122</v>
      </c>
      <c r="Y92" s="59" t="s">
        <v>122</v>
      </c>
      <c r="Z92" s="59" t="s">
        <v>122</v>
      </c>
      <c r="AA92" s="59" t="s">
        <v>122</v>
      </c>
      <c r="AB92" s="59" t="s">
        <v>122</v>
      </c>
      <c r="AC92" s="59" t="s">
        <v>122</v>
      </c>
      <c r="AD92" s="59" t="s">
        <v>122</v>
      </c>
      <c r="AE92" s="59" t="s">
        <v>122</v>
      </c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62"/>
      <c r="BE92" s="62"/>
      <c r="BF92" s="62"/>
      <c r="BG92" s="56">
        <f t="shared" si="5"/>
        <v>0</v>
      </c>
      <c r="BH92" s="42">
        <f t="shared" si="6"/>
        <v>0</v>
      </c>
      <c r="BI92" s="43" t="str">
        <f t="shared" si="7"/>
        <v>#DIV/0!</v>
      </c>
      <c r="BJ92" s="44">
        <f t="shared" si="8"/>
        <v>0</v>
      </c>
      <c r="BK92" s="42">
        <f t="shared" si="9"/>
        <v>0</v>
      </c>
      <c r="BL92" s="28"/>
      <c r="BM92" s="28"/>
      <c r="BN92" s="28"/>
      <c r="BO92" s="28"/>
    </row>
    <row r="93">
      <c r="A93" s="14">
        <f t="shared" si="2"/>
        <v>90</v>
      </c>
      <c r="B93" s="74">
        <f t="shared" si="3"/>
        <v>45870</v>
      </c>
      <c r="C93" s="48">
        <v>45898.0</v>
      </c>
      <c r="D93" s="57">
        <f t="shared" si="4"/>
        <v>45898</v>
      </c>
      <c r="E93" s="59" t="s">
        <v>122</v>
      </c>
      <c r="F93" s="59" t="s">
        <v>122</v>
      </c>
      <c r="G93" s="59" t="s">
        <v>122</v>
      </c>
      <c r="H93" s="59" t="s">
        <v>122</v>
      </c>
      <c r="I93" s="59" t="s">
        <v>122</v>
      </c>
      <c r="J93" s="59" t="s">
        <v>122</v>
      </c>
      <c r="K93" s="59" t="s">
        <v>122</v>
      </c>
      <c r="L93" s="59" t="s">
        <v>122</v>
      </c>
      <c r="M93" s="59" t="s">
        <v>122</v>
      </c>
      <c r="N93" s="59" t="s">
        <v>122</v>
      </c>
      <c r="O93" s="59" t="s">
        <v>122</v>
      </c>
      <c r="P93" s="59" t="s">
        <v>122</v>
      </c>
      <c r="Q93" s="59" t="s">
        <v>122</v>
      </c>
      <c r="R93" s="59" t="s">
        <v>122</v>
      </c>
      <c r="S93" s="59" t="s">
        <v>122</v>
      </c>
      <c r="T93" s="59" t="s">
        <v>122</v>
      </c>
      <c r="U93" s="59" t="s">
        <v>122</v>
      </c>
      <c r="V93" s="59" t="s">
        <v>122</v>
      </c>
      <c r="W93" s="59" t="s">
        <v>122</v>
      </c>
      <c r="X93" s="59" t="s">
        <v>122</v>
      </c>
      <c r="Y93" s="59" t="s">
        <v>122</v>
      </c>
      <c r="Z93" s="59" t="s">
        <v>122</v>
      </c>
      <c r="AA93" s="59" t="s">
        <v>122</v>
      </c>
      <c r="AB93" s="59" t="s">
        <v>122</v>
      </c>
      <c r="AC93" s="59" t="s">
        <v>122</v>
      </c>
      <c r="AD93" s="59" t="s">
        <v>122</v>
      </c>
      <c r="AE93" s="59" t="s">
        <v>122</v>
      </c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62"/>
      <c r="BE93" s="62"/>
      <c r="BF93" s="62"/>
      <c r="BG93" s="56">
        <f t="shared" si="5"/>
        <v>0</v>
      </c>
      <c r="BH93" s="42">
        <f t="shared" si="6"/>
        <v>0</v>
      </c>
      <c r="BI93" s="43" t="str">
        <f t="shared" si="7"/>
        <v>#DIV/0!</v>
      </c>
      <c r="BJ93" s="44">
        <f t="shared" si="8"/>
        <v>0</v>
      </c>
      <c r="BK93" s="42">
        <f t="shared" si="9"/>
        <v>0</v>
      </c>
      <c r="BL93" s="28"/>
      <c r="BM93" s="28"/>
      <c r="BN93" s="28"/>
      <c r="BO93" s="28"/>
    </row>
    <row r="94">
      <c r="A94" s="14">
        <f t="shared" si="2"/>
        <v>91</v>
      </c>
      <c r="B94" s="74">
        <f t="shared" si="3"/>
        <v>45870</v>
      </c>
      <c r="C94" s="48">
        <v>45899.0</v>
      </c>
      <c r="D94" s="57">
        <f t="shared" si="4"/>
        <v>45899</v>
      </c>
      <c r="E94" s="59" t="s">
        <v>122</v>
      </c>
      <c r="F94" s="59" t="s">
        <v>122</v>
      </c>
      <c r="G94" s="59" t="s">
        <v>122</v>
      </c>
      <c r="H94" s="59" t="s">
        <v>122</v>
      </c>
      <c r="I94" s="59" t="s">
        <v>122</v>
      </c>
      <c r="J94" s="59" t="s">
        <v>122</v>
      </c>
      <c r="K94" s="59" t="s">
        <v>122</v>
      </c>
      <c r="L94" s="59" t="s">
        <v>122</v>
      </c>
      <c r="M94" s="59" t="s">
        <v>122</v>
      </c>
      <c r="N94" s="59" t="s">
        <v>122</v>
      </c>
      <c r="O94" s="59" t="s">
        <v>122</v>
      </c>
      <c r="P94" s="59" t="s">
        <v>122</v>
      </c>
      <c r="Q94" s="59" t="s">
        <v>122</v>
      </c>
      <c r="R94" s="59" t="s">
        <v>122</v>
      </c>
      <c r="S94" s="59" t="s">
        <v>122</v>
      </c>
      <c r="T94" s="59" t="s">
        <v>122</v>
      </c>
      <c r="U94" s="59" t="s">
        <v>122</v>
      </c>
      <c r="V94" s="59" t="s">
        <v>122</v>
      </c>
      <c r="W94" s="59" t="s">
        <v>122</v>
      </c>
      <c r="X94" s="59" t="s">
        <v>122</v>
      </c>
      <c r="Y94" s="59" t="s">
        <v>122</v>
      </c>
      <c r="Z94" s="59" t="s">
        <v>122</v>
      </c>
      <c r="AA94" s="59" t="s">
        <v>122</v>
      </c>
      <c r="AB94" s="59" t="s">
        <v>122</v>
      </c>
      <c r="AC94" s="59" t="s">
        <v>122</v>
      </c>
      <c r="AD94" s="59" t="s">
        <v>122</v>
      </c>
      <c r="AE94" s="59" t="s">
        <v>122</v>
      </c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62"/>
      <c r="BE94" s="62"/>
      <c r="BF94" s="62"/>
      <c r="BG94" s="56">
        <f t="shared" si="5"/>
        <v>0</v>
      </c>
      <c r="BH94" s="42">
        <f t="shared" si="6"/>
        <v>0</v>
      </c>
      <c r="BI94" s="43" t="str">
        <f t="shared" si="7"/>
        <v>#DIV/0!</v>
      </c>
      <c r="BJ94" s="44">
        <f t="shared" si="8"/>
        <v>0</v>
      </c>
      <c r="BK94" s="42">
        <f t="shared" si="9"/>
        <v>0</v>
      </c>
      <c r="BL94" s="28"/>
      <c r="BM94" s="28"/>
      <c r="BN94" s="28"/>
      <c r="BO94" s="28"/>
    </row>
    <row r="95">
      <c r="A95" s="14">
        <f t="shared" si="2"/>
        <v>92</v>
      </c>
      <c r="B95" s="74">
        <f t="shared" si="3"/>
        <v>45870</v>
      </c>
      <c r="C95" s="48">
        <v>45900.0</v>
      </c>
      <c r="D95" s="49">
        <f t="shared" si="4"/>
        <v>45900</v>
      </c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64"/>
      <c r="BE95" s="64"/>
      <c r="BF95" s="64"/>
      <c r="BG95" s="56">
        <f t="shared" si="5"/>
        <v>0</v>
      </c>
      <c r="BH95" s="42">
        <f t="shared" si="6"/>
        <v>0</v>
      </c>
      <c r="BI95" s="43" t="str">
        <f t="shared" si="7"/>
        <v>#DIV/0!</v>
      </c>
      <c r="BJ95" s="44">
        <f t="shared" si="8"/>
        <v>0</v>
      </c>
      <c r="BK95" s="42">
        <f t="shared" si="9"/>
        <v>0</v>
      </c>
      <c r="BL95" s="28"/>
      <c r="BM95" s="28"/>
      <c r="BN95" s="28"/>
      <c r="BO95" s="28"/>
    </row>
    <row r="96">
      <c r="A96" s="14">
        <f t="shared" si="2"/>
        <v>93</v>
      </c>
      <c r="B96" s="75">
        <f t="shared" si="3"/>
        <v>45901</v>
      </c>
      <c r="C96" s="48">
        <v>45901.0</v>
      </c>
      <c r="D96" s="57">
        <f t="shared" si="4"/>
        <v>45901</v>
      </c>
      <c r="E96" s="59" t="s">
        <v>122</v>
      </c>
      <c r="F96" s="59" t="s">
        <v>122</v>
      </c>
      <c r="G96" s="59" t="s">
        <v>122</v>
      </c>
      <c r="H96" s="59" t="s">
        <v>122</v>
      </c>
      <c r="I96" s="59" t="s">
        <v>122</v>
      </c>
      <c r="J96" s="59" t="s">
        <v>122</v>
      </c>
      <c r="K96" s="59" t="s">
        <v>122</v>
      </c>
      <c r="L96" s="59" t="s">
        <v>122</v>
      </c>
      <c r="M96" s="59" t="s">
        <v>122</v>
      </c>
      <c r="N96" s="59" t="s">
        <v>122</v>
      </c>
      <c r="O96" s="59" t="s">
        <v>122</v>
      </c>
      <c r="P96" s="59" t="s">
        <v>122</v>
      </c>
      <c r="Q96" s="59" t="s">
        <v>122</v>
      </c>
      <c r="R96" s="59" t="s">
        <v>122</v>
      </c>
      <c r="S96" s="59" t="s">
        <v>122</v>
      </c>
      <c r="T96" s="59" t="s">
        <v>122</v>
      </c>
      <c r="U96" s="59" t="s">
        <v>122</v>
      </c>
      <c r="V96" s="59" t="s">
        <v>122</v>
      </c>
      <c r="W96" s="59" t="s">
        <v>122</v>
      </c>
      <c r="X96" s="59" t="s">
        <v>122</v>
      </c>
      <c r="Y96" s="59" t="s">
        <v>122</v>
      </c>
      <c r="Z96" s="59" t="s">
        <v>122</v>
      </c>
      <c r="AA96" s="59" t="s">
        <v>122</v>
      </c>
      <c r="AB96" s="59" t="s">
        <v>122</v>
      </c>
      <c r="AC96" s="59" t="s">
        <v>122</v>
      </c>
      <c r="AD96" s="59" t="s">
        <v>122</v>
      </c>
      <c r="AE96" s="59" t="s">
        <v>122</v>
      </c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62"/>
      <c r="BE96" s="62"/>
      <c r="BF96" s="62"/>
      <c r="BG96" s="56">
        <f t="shared" si="5"/>
        <v>0</v>
      </c>
      <c r="BH96" s="42">
        <f t="shared" si="6"/>
        <v>0</v>
      </c>
      <c r="BI96" s="43" t="str">
        <f t="shared" si="7"/>
        <v>#DIV/0!</v>
      </c>
      <c r="BJ96" s="44">
        <f t="shared" si="8"/>
        <v>0</v>
      </c>
      <c r="BK96" s="42">
        <f t="shared" si="9"/>
        <v>0</v>
      </c>
      <c r="BL96" s="28"/>
      <c r="BM96" s="28"/>
      <c r="BN96" s="28"/>
      <c r="BO96" s="28"/>
    </row>
    <row r="97">
      <c r="A97" s="14">
        <f t="shared" si="2"/>
        <v>94</v>
      </c>
      <c r="B97" s="75">
        <f t="shared" si="3"/>
        <v>45901</v>
      </c>
      <c r="C97" s="48">
        <v>45902.0</v>
      </c>
      <c r="D97" s="57">
        <f t="shared" si="4"/>
        <v>45902</v>
      </c>
      <c r="E97" s="59" t="s">
        <v>122</v>
      </c>
      <c r="F97" s="59" t="s">
        <v>122</v>
      </c>
      <c r="G97" s="59" t="s">
        <v>122</v>
      </c>
      <c r="H97" s="59" t="s">
        <v>122</v>
      </c>
      <c r="I97" s="59" t="s">
        <v>122</v>
      </c>
      <c r="J97" s="59" t="s">
        <v>122</v>
      </c>
      <c r="K97" s="59" t="s">
        <v>122</v>
      </c>
      <c r="L97" s="59" t="s">
        <v>122</v>
      </c>
      <c r="M97" s="59" t="s">
        <v>122</v>
      </c>
      <c r="N97" s="59" t="s">
        <v>122</v>
      </c>
      <c r="O97" s="59" t="s">
        <v>122</v>
      </c>
      <c r="P97" s="59" t="s">
        <v>122</v>
      </c>
      <c r="Q97" s="59" t="s">
        <v>122</v>
      </c>
      <c r="R97" s="59" t="s">
        <v>122</v>
      </c>
      <c r="S97" s="59" t="s">
        <v>122</v>
      </c>
      <c r="T97" s="59" t="s">
        <v>122</v>
      </c>
      <c r="U97" s="59" t="s">
        <v>122</v>
      </c>
      <c r="V97" s="59" t="s">
        <v>122</v>
      </c>
      <c r="W97" s="59" t="s">
        <v>122</v>
      </c>
      <c r="X97" s="59" t="s">
        <v>122</v>
      </c>
      <c r="Y97" s="59" t="s">
        <v>122</v>
      </c>
      <c r="Z97" s="59" t="s">
        <v>122</v>
      </c>
      <c r="AA97" s="59" t="s">
        <v>122</v>
      </c>
      <c r="AB97" s="59" t="s">
        <v>122</v>
      </c>
      <c r="AC97" s="59" t="s">
        <v>122</v>
      </c>
      <c r="AD97" s="59" t="s">
        <v>122</v>
      </c>
      <c r="AE97" s="59" t="s">
        <v>122</v>
      </c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62"/>
      <c r="BE97" s="62"/>
      <c r="BF97" s="62"/>
      <c r="BG97" s="56">
        <f t="shared" si="5"/>
        <v>0</v>
      </c>
      <c r="BH97" s="42">
        <f t="shared" si="6"/>
        <v>0</v>
      </c>
      <c r="BI97" s="43" t="str">
        <f t="shared" si="7"/>
        <v>#DIV/0!</v>
      </c>
      <c r="BJ97" s="44">
        <f t="shared" si="8"/>
        <v>0</v>
      </c>
      <c r="BK97" s="42">
        <f t="shared" si="9"/>
        <v>0</v>
      </c>
      <c r="BL97" s="28"/>
      <c r="BM97" s="28"/>
      <c r="BN97" s="28"/>
      <c r="BO97" s="28"/>
    </row>
    <row r="98">
      <c r="A98" s="14">
        <f t="shared" si="2"/>
        <v>95</v>
      </c>
      <c r="B98" s="75">
        <f t="shared" si="3"/>
        <v>45901</v>
      </c>
      <c r="C98" s="48">
        <v>45903.0</v>
      </c>
      <c r="D98" s="57">
        <f t="shared" si="4"/>
        <v>45903</v>
      </c>
      <c r="E98" s="59" t="s">
        <v>121</v>
      </c>
      <c r="F98" s="59" t="s">
        <v>120</v>
      </c>
      <c r="G98" s="59" t="s">
        <v>120</v>
      </c>
      <c r="H98" s="59" t="s">
        <v>120</v>
      </c>
      <c r="I98" s="59" t="s">
        <v>120</v>
      </c>
      <c r="J98" s="59" t="s">
        <v>120</v>
      </c>
      <c r="K98" s="59" t="s">
        <v>120</v>
      </c>
      <c r="L98" s="59" t="s">
        <v>120</v>
      </c>
      <c r="M98" s="59" t="s">
        <v>121</v>
      </c>
      <c r="N98" s="59" t="s">
        <v>120</v>
      </c>
      <c r="O98" s="59" t="s">
        <v>120</v>
      </c>
      <c r="P98" s="59" t="s">
        <v>121</v>
      </c>
      <c r="Q98" s="59" t="s">
        <v>120</v>
      </c>
      <c r="R98" s="59" t="s">
        <v>121</v>
      </c>
      <c r="S98" s="59" t="s">
        <v>120</v>
      </c>
      <c r="T98" s="59" t="s">
        <v>120</v>
      </c>
      <c r="U98" s="59" t="s">
        <v>120</v>
      </c>
      <c r="V98" s="59" t="s">
        <v>120</v>
      </c>
      <c r="W98" s="59" t="s">
        <v>120</v>
      </c>
      <c r="X98" s="59" t="s">
        <v>120</v>
      </c>
      <c r="Y98" s="59" t="s">
        <v>120</v>
      </c>
      <c r="Z98" s="59" t="s">
        <v>120</v>
      </c>
      <c r="AA98" s="59" t="s">
        <v>120</v>
      </c>
      <c r="AB98" s="59" t="s">
        <v>120</v>
      </c>
      <c r="AC98" s="59" t="s">
        <v>121</v>
      </c>
      <c r="AD98" s="59" t="s">
        <v>120</v>
      </c>
      <c r="AE98" s="59" t="s">
        <v>120</v>
      </c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62"/>
      <c r="BE98" s="62"/>
      <c r="BF98" s="62"/>
      <c r="BG98" s="56">
        <f t="shared" si="5"/>
        <v>27</v>
      </c>
      <c r="BH98" s="42">
        <f t="shared" si="6"/>
        <v>22</v>
      </c>
      <c r="BI98" s="43">
        <f t="shared" si="7"/>
        <v>0.8148148148</v>
      </c>
      <c r="BJ98" s="44">
        <f t="shared" si="8"/>
        <v>5</v>
      </c>
      <c r="BK98" s="42">
        <f t="shared" si="9"/>
        <v>0</v>
      </c>
      <c r="BL98" s="28"/>
      <c r="BM98" s="28"/>
      <c r="BN98" s="28"/>
      <c r="BO98" s="28"/>
    </row>
    <row r="99">
      <c r="A99" s="14">
        <f t="shared" si="2"/>
        <v>96</v>
      </c>
      <c r="B99" s="75">
        <f t="shared" si="3"/>
        <v>45901</v>
      </c>
      <c r="C99" s="48">
        <v>45904.0</v>
      </c>
      <c r="D99" s="57">
        <f t="shared" si="4"/>
        <v>45904</v>
      </c>
      <c r="E99" s="59" t="s">
        <v>121</v>
      </c>
      <c r="F99" s="59" t="s">
        <v>120</v>
      </c>
      <c r="G99" s="59" t="s">
        <v>120</v>
      </c>
      <c r="H99" s="59" t="s">
        <v>120</v>
      </c>
      <c r="I99" s="59" t="s">
        <v>120</v>
      </c>
      <c r="J99" s="59" t="s">
        <v>120</v>
      </c>
      <c r="K99" s="59" t="s">
        <v>120</v>
      </c>
      <c r="L99" s="59" t="s">
        <v>120</v>
      </c>
      <c r="M99" s="59" t="s">
        <v>121</v>
      </c>
      <c r="N99" s="59" t="s">
        <v>120</v>
      </c>
      <c r="O99" s="59" t="s">
        <v>120</v>
      </c>
      <c r="P99" s="59" t="s">
        <v>120</v>
      </c>
      <c r="Q99" s="59" t="s">
        <v>120</v>
      </c>
      <c r="R99" s="59" t="s">
        <v>121</v>
      </c>
      <c r="S99" s="59" t="s">
        <v>120</v>
      </c>
      <c r="T99" s="59" t="s">
        <v>120</v>
      </c>
      <c r="U99" s="59" t="s">
        <v>120</v>
      </c>
      <c r="V99" s="59" t="s">
        <v>120</v>
      </c>
      <c r="W99" s="59" t="s">
        <v>120</v>
      </c>
      <c r="X99" s="59" t="s">
        <v>120</v>
      </c>
      <c r="Y99" s="59" t="s">
        <v>120</v>
      </c>
      <c r="Z99" s="59" t="s">
        <v>120</v>
      </c>
      <c r="AA99" s="59" t="s">
        <v>120</v>
      </c>
      <c r="AB99" s="59" t="s">
        <v>120</v>
      </c>
      <c r="AC99" s="59" t="s">
        <v>121</v>
      </c>
      <c r="AD99" s="59" t="s">
        <v>120</v>
      </c>
      <c r="AE99" s="59" t="s">
        <v>120</v>
      </c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62"/>
      <c r="BE99" s="62"/>
      <c r="BF99" s="62"/>
      <c r="BG99" s="56">
        <f t="shared" si="5"/>
        <v>27</v>
      </c>
      <c r="BH99" s="42">
        <f t="shared" si="6"/>
        <v>23</v>
      </c>
      <c r="BI99" s="43">
        <f t="shared" si="7"/>
        <v>0.8518518519</v>
      </c>
      <c r="BJ99" s="44">
        <f t="shared" si="8"/>
        <v>4</v>
      </c>
      <c r="BK99" s="42">
        <f t="shared" si="9"/>
        <v>0</v>
      </c>
      <c r="BL99" s="28"/>
      <c r="BM99" s="28"/>
      <c r="BN99" s="28"/>
      <c r="BO99" s="28"/>
    </row>
    <row r="100">
      <c r="A100" s="14">
        <f t="shared" si="2"/>
        <v>97</v>
      </c>
      <c r="B100" s="75">
        <f t="shared" si="3"/>
        <v>45901</v>
      </c>
      <c r="C100" s="48">
        <v>45905.0</v>
      </c>
      <c r="D100" s="57">
        <f t="shared" si="4"/>
        <v>45905</v>
      </c>
      <c r="E100" s="59" t="s">
        <v>121</v>
      </c>
      <c r="F100" s="59" t="s">
        <v>120</v>
      </c>
      <c r="G100" s="59" t="s">
        <v>120</v>
      </c>
      <c r="H100" s="59" t="s">
        <v>120</v>
      </c>
      <c r="I100" s="59" t="s">
        <v>120</v>
      </c>
      <c r="J100" s="59" t="s">
        <v>121</v>
      </c>
      <c r="K100" s="59" t="s">
        <v>120</v>
      </c>
      <c r="L100" s="59" t="s">
        <v>121</v>
      </c>
      <c r="M100" s="59" t="s">
        <v>121</v>
      </c>
      <c r="N100" s="59" t="s">
        <v>120</v>
      </c>
      <c r="O100" s="59" t="s">
        <v>120</v>
      </c>
      <c r="P100" s="59" t="s">
        <v>120</v>
      </c>
      <c r="Q100" s="59" t="s">
        <v>120</v>
      </c>
      <c r="R100" s="59" t="s">
        <v>120</v>
      </c>
      <c r="S100" s="59" t="s">
        <v>121</v>
      </c>
      <c r="T100" s="59" t="s">
        <v>120</v>
      </c>
      <c r="U100" s="59" t="s">
        <v>120</v>
      </c>
      <c r="V100" s="59" t="s">
        <v>120</v>
      </c>
      <c r="W100" s="59" t="s">
        <v>120</v>
      </c>
      <c r="X100" s="59" t="s">
        <v>120</v>
      </c>
      <c r="Y100" s="59" t="s">
        <v>120</v>
      </c>
      <c r="Z100" s="59" t="s">
        <v>120</v>
      </c>
      <c r="AA100" s="59" t="s">
        <v>120</v>
      </c>
      <c r="AB100" s="59" t="s">
        <v>120</v>
      </c>
      <c r="AC100" s="59" t="s">
        <v>120</v>
      </c>
      <c r="AD100" s="59" t="s">
        <v>120</v>
      </c>
      <c r="AE100" s="59" t="s">
        <v>120</v>
      </c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62"/>
      <c r="BE100" s="62"/>
      <c r="BF100" s="62"/>
      <c r="BG100" s="56">
        <f t="shared" si="5"/>
        <v>27</v>
      </c>
      <c r="BH100" s="42">
        <f t="shared" si="6"/>
        <v>22</v>
      </c>
      <c r="BI100" s="43">
        <f t="shared" si="7"/>
        <v>0.8148148148</v>
      </c>
      <c r="BJ100" s="44">
        <f t="shared" si="8"/>
        <v>5</v>
      </c>
      <c r="BK100" s="42">
        <f t="shared" si="9"/>
        <v>0</v>
      </c>
      <c r="BL100" s="28"/>
      <c r="BM100" s="28"/>
      <c r="BN100" s="28"/>
      <c r="BO100" s="28"/>
    </row>
    <row r="101">
      <c r="A101" s="14">
        <f t="shared" si="2"/>
        <v>98</v>
      </c>
      <c r="B101" s="75">
        <f t="shared" si="3"/>
        <v>45901</v>
      </c>
      <c r="C101" s="48">
        <v>45906.0</v>
      </c>
      <c r="D101" s="57">
        <f t="shared" si="4"/>
        <v>45906</v>
      </c>
      <c r="E101" s="59" t="s">
        <v>122</v>
      </c>
      <c r="F101" s="59" t="s">
        <v>122</v>
      </c>
      <c r="G101" s="59" t="s">
        <v>122</v>
      </c>
      <c r="H101" s="59" t="s">
        <v>122</v>
      </c>
      <c r="I101" s="59" t="s">
        <v>122</v>
      </c>
      <c r="J101" s="59" t="s">
        <v>122</v>
      </c>
      <c r="K101" s="59" t="s">
        <v>122</v>
      </c>
      <c r="L101" s="59" t="s">
        <v>122</v>
      </c>
      <c r="M101" s="59" t="s">
        <v>122</v>
      </c>
      <c r="N101" s="59" t="s">
        <v>122</v>
      </c>
      <c r="O101" s="59" t="s">
        <v>122</v>
      </c>
      <c r="P101" s="59" t="s">
        <v>122</v>
      </c>
      <c r="Q101" s="59" t="s">
        <v>122</v>
      </c>
      <c r="R101" s="59" t="s">
        <v>122</v>
      </c>
      <c r="S101" s="59" t="s">
        <v>122</v>
      </c>
      <c r="T101" s="59" t="s">
        <v>122</v>
      </c>
      <c r="U101" s="59" t="s">
        <v>122</v>
      </c>
      <c r="V101" s="59" t="s">
        <v>122</v>
      </c>
      <c r="W101" s="59" t="s">
        <v>122</v>
      </c>
      <c r="X101" s="59" t="s">
        <v>122</v>
      </c>
      <c r="Y101" s="59" t="s">
        <v>122</v>
      </c>
      <c r="Z101" s="59" t="s">
        <v>122</v>
      </c>
      <c r="AA101" s="59" t="s">
        <v>122</v>
      </c>
      <c r="AB101" s="59" t="s">
        <v>122</v>
      </c>
      <c r="AC101" s="59" t="s">
        <v>122</v>
      </c>
      <c r="AD101" s="59" t="s">
        <v>122</v>
      </c>
      <c r="AE101" s="59" t="s">
        <v>122</v>
      </c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62"/>
      <c r="BE101" s="62"/>
      <c r="BF101" s="62"/>
      <c r="BG101" s="56">
        <f t="shared" si="5"/>
        <v>0</v>
      </c>
      <c r="BH101" s="42">
        <f t="shared" si="6"/>
        <v>0</v>
      </c>
      <c r="BI101" s="43" t="str">
        <f t="shared" si="7"/>
        <v>#DIV/0!</v>
      </c>
      <c r="BJ101" s="44">
        <f t="shared" si="8"/>
        <v>0</v>
      </c>
      <c r="BK101" s="42">
        <f t="shared" si="9"/>
        <v>0</v>
      </c>
      <c r="BL101" s="28"/>
      <c r="BM101" s="28"/>
      <c r="BN101" s="28"/>
      <c r="BO101" s="28"/>
    </row>
    <row r="102">
      <c r="A102" s="14">
        <f t="shared" si="2"/>
        <v>99</v>
      </c>
      <c r="B102" s="75">
        <f t="shared" si="3"/>
        <v>45901</v>
      </c>
      <c r="C102" s="48">
        <v>45907.0</v>
      </c>
      <c r="D102" s="49">
        <f t="shared" si="4"/>
        <v>45907</v>
      </c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64"/>
      <c r="BE102" s="64"/>
      <c r="BF102" s="64"/>
      <c r="BG102" s="56">
        <f t="shared" si="5"/>
        <v>0</v>
      </c>
      <c r="BH102" s="42">
        <f t="shared" si="6"/>
        <v>0</v>
      </c>
      <c r="BI102" s="43" t="str">
        <f t="shared" si="7"/>
        <v>#DIV/0!</v>
      </c>
      <c r="BJ102" s="44">
        <f t="shared" si="8"/>
        <v>0</v>
      </c>
      <c r="BK102" s="42">
        <f t="shared" si="9"/>
        <v>0</v>
      </c>
      <c r="BL102" s="28"/>
      <c r="BM102" s="28"/>
      <c r="BN102" s="28"/>
      <c r="BO102" s="28"/>
    </row>
    <row r="103">
      <c r="A103" s="14">
        <f t="shared" si="2"/>
        <v>100</v>
      </c>
      <c r="B103" s="75">
        <f t="shared" si="3"/>
        <v>45901</v>
      </c>
      <c r="C103" s="48">
        <v>45908.0</v>
      </c>
      <c r="D103" s="57">
        <f t="shared" si="4"/>
        <v>45908</v>
      </c>
      <c r="E103" s="73" t="s">
        <v>121</v>
      </c>
      <c r="F103" s="73" t="s">
        <v>120</v>
      </c>
      <c r="G103" s="73" t="s">
        <v>120</v>
      </c>
      <c r="H103" s="73" t="s">
        <v>120</v>
      </c>
      <c r="I103" s="73" t="s">
        <v>120</v>
      </c>
      <c r="J103" s="73" t="s">
        <v>121</v>
      </c>
      <c r="K103" s="73" t="s">
        <v>120</v>
      </c>
      <c r="L103" s="73" t="s">
        <v>121</v>
      </c>
      <c r="M103" s="73" t="s">
        <v>121</v>
      </c>
      <c r="N103" s="73" t="s">
        <v>121</v>
      </c>
      <c r="O103" s="73" t="s">
        <v>121</v>
      </c>
      <c r="P103" s="73" t="s">
        <v>120</v>
      </c>
      <c r="Q103" s="73" t="s">
        <v>120</v>
      </c>
      <c r="R103" s="73" t="s">
        <v>120</v>
      </c>
      <c r="S103" s="73" t="s">
        <v>120</v>
      </c>
      <c r="T103" s="73" t="s">
        <v>120</v>
      </c>
      <c r="U103" s="73" t="s">
        <v>120</v>
      </c>
      <c r="V103" s="73" t="s">
        <v>120</v>
      </c>
      <c r="W103" s="73" t="s">
        <v>120</v>
      </c>
      <c r="X103" s="73" t="s">
        <v>120</v>
      </c>
      <c r="Y103" s="73" t="s">
        <v>120</v>
      </c>
      <c r="Z103" s="73" t="s">
        <v>120</v>
      </c>
      <c r="AA103" s="73" t="s">
        <v>120</v>
      </c>
      <c r="AB103" s="73" t="s">
        <v>121</v>
      </c>
      <c r="AC103" s="73" t="s">
        <v>120</v>
      </c>
      <c r="AD103" s="73" t="s">
        <v>120</v>
      </c>
      <c r="AE103" s="73" t="s">
        <v>120</v>
      </c>
      <c r="AF103" s="73"/>
      <c r="AG103" s="73"/>
      <c r="AH103" s="73"/>
      <c r="AI103" s="59"/>
      <c r="AJ103" s="59"/>
      <c r="AK103" s="59"/>
      <c r="AL103" s="59"/>
      <c r="AM103" s="59"/>
      <c r="AN103" s="59"/>
      <c r="AO103" s="59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62"/>
      <c r="BE103" s="62"/>
      <c r="BF103" s="62"/>
      <c r="BG103" s="56">
        <f t="shared" si="5"/>
        <v>27</v>
      </c>
      <c r="BH103" s="42">
        <f t="shared" si="6"/>
        <v>20</v>
      </c>
      <c r="BI103" s="43">
        <f t="shared" si="7"/>
        <v>0.7407407407</v>
      </c>
      <c r="BJ103" s="44">
        <f t="shared" si="8"/>
        <v>7</v>
      </c>
      <c r="BK103" s="42">
        <f t="shared" si="9"/>
        <v>0</v>
      </c>
      <c r="BL103" s="28"/>
      <c r="BM103" s="28"/>
      <c r="BN103" s="28"/>
      <c r="BO103" s="28"/>
    </row>
    <row r="104">
      <c r="A104" s="14">
        <f t="shared" si="2"/>
        <v>101</v>
      </c>
      <c r="B104" s="75">
        <f t="shared" si="3"/>
        <v>45901</v>
      </c>
      <c r="C104" s="48">
        <v>45909.0</v>
      </c>
      <c r="D104" s="57">
        <f t="shared" si="4"/>
        <v>45909</v>
      </c>
      <c r="E104" s="73" t="s">
        <v>121</v>
      </c>
      <c r="F104" s="73" t="s">
        <v>120</v>
      </c>
      <c r="G104" s="73" t="s">
        <v>120</v>
      </c>
      <c r="H104" s="73" t="s">
        <v>120</v>
      </c>
      <c r="I104" s="73" t="s">
        <v>120</v>
      </c>
      <c r="J104" s="73" t="s">
        <v>121</v>
      </c>
      <c r="K104" s="73" t="s">
        <v>120</v>
      </c>
      <c r="L104" s="73" t="s">
        <v>121</v>
      </c>
      <c r="M104" s="73" t="s">
        <v>121</v>
      </c>
      <c r="N104" s="73" t="s">
        <v>120</v>
      </c>
      <c r="O104" s="73" t="s">
        <v>120</v>
      </c>
      <c r="P104" s="73" t="s">
        <v>121</v>
      </c>
      <c r="Q104" s="73" t="s">
        <v>120</v>
      </c>
      <c r="R104" s="73" t="s">
        <v>120</v>
      </c>
      <c r="S104" s="73" t="s">
        <v>121</v>
      </c>
      <c r="T104" s="73" t="s">
        <v>120</v>
      </c>
      <c r="U104" s="73" t="s">
        <v>121</v>
      </c>
      <c r="V104" s="73" t="s">
        <v>120</v>
      </c>
      <c r="W104" s="73" t="s">
        <v>120</v>
      </c>
      <c r="X104" s="73" t="s">
        <v>120</v>
      </c>
      <c r="Y104" s="73" t="s">
        <v>120</v>
      </c>
      <c r="Z104" s="73" t="s">
        <v>121</v>
      </c>
      <c r="AA104" s="73" t="s">
        <v>120</v>
      </c>
      <c r="AB104" s="73" t="s">
        <v>120</v>
      </c>
      <c r="AC104" s="73" t="s">
        <v>121</v>
      </c>
      <c r="AD104" s="73" t="s">
        <v>121</v>
      </c>
      <c r="AE104" s="73" t="s">
        <v>120</v>
      </c>
      <c r="AF104" s="73"/>
      <c r="AG104" s="73"/>
      <c r="AH104" s="73"/>
      <c r="AI104" s="59"/>
      <c r="AJ104" s="59"/>
      <c r="AK104" s="59"/>
      <c r="AL104" s="59"/>
      <c r="AM104" s="59"/>
      <c r="AN104" s="59"/>
      <c r="AO104" s="59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62"/>
      <c r="BE104" s="62"/>
      <c r="BF104" s="62"/>
      <c r="BG104" s="56">
        <f t="shared" si="5"/>
        <v>27</v>
      </c>
      <c r="BH104" s="42">
        <f t="shared" si="6"/>
        <v>17</v>
      </c>
      <c r="BI104" s="43">
        <f t="shared" si="7"/>
        <v>0.6296296296</v>
      </c>
      <c r="BJ104" s="44">
        <f t="shared" si="8"/>
        <v>10</v>
      </c>
      <c r="BK104" s="42">
        <f t="shared" si="9"/>
        <v>0</v>
      </c>
      <c r="BL104" s="28"/>
      <c r="BM104" s="28"/>
      <c r="BN104" s="28"/>
      <c r="BO104" s="28"/>
    </row>
    <row r="105">
      <c r="A105" s="14">
        <f t="shared" si="2"/>
        <v>102</v>
      </c>
      <c r="B105" s="75">
        <f t="shared" si="3"/>
        <v>45901</v>
      </c>
      <c r="C105" s="48">
        <v>45910.0</v>
      </c>
      <c r="D105" s="57">
        <f t="shared" si="4"/>
        <v>45910</v>
      </c>
      <c r="E105" s="59" t="s">
        <v>121</v>
      </c>
      <c r="F105" s="59" t="s">
        <v>120</v>
      </c>
      <c r="G105" s="59" t="s">
        <v>121</v>
      </c>
      <c r="H105" s="59" t="s">
        <v>120</v>
      </c>
      <c r="I105" s="59" t="s">
        <v>120</v>
      </c>
      <c r="J105" s="59" t="s">
        <v>120</v>
      </c>
      <c r="K105" s="59" t="s">
        <v>120</v>
      </c>
      <c r="L105" s="59" t="s">
        <v>120</v>
      </c>
      <c r="M105" s="59" t="s">
        <v>120</v>
      </c>
      <c r="N105" s="59" t="s">
        <v>120</v>
      </c>
      <c r="O105" s="59" t="s">
        <v>120</v>
      </c>
      <c r="P105" s="59" t="s">
        <v>120</v>
      </c>
      <c r="Q105" s="59" t="s">
        <v>120</v>
      </c>
      <c r="R105" s="59" t="s">
        <v>120</v>
      </c>
      <c r="S105" s="59" t="s">
        <v>120</v>
      </c>
      <c r="T105" s="59" t="s">
        <v>120</v>
      </c>
      <c r="U105" s="59" t="s">
        <v>120</v>
      </c>
      <c r="V105" s="59" t="s">
        <v>120</v>
      </c>
      <c r="W105" s="59" t="s">
        <v>120</v>
      </c>
      <c r="X105" s="59" t="s">
        <v>120</v>
      </c>
      <c r="Y105" s="59" t="s">
        <v>120</v>
      </c>
      <c r="Z105" s="59" t="s">
        <v>121</v>
      </c>
      <c r="AA105" s="59" t="s">
        <v>120</v>
      </c>
      <c r="AB105" s="59" t="s">
        <v>120</v>
      </c>
      <c r="AC105" s="59" t="s">
        <v>120</v>
      </c>
      <c r="AD105" s="59" t="s">
        <v>120</v>
      </c>
      <c r="AE105" s="59" t="s">
        <v>120</v>
      </c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62"/>
      <c r="BE105" s="62"/>
      <c r="BF105" s="62"/>
      <c r="BG105" s="56">
        <f t="shared" si="5"/>
        <v>27</v>
      </c>
      <c r="BH105" s="42">
        <f t="shared" si="6"/>
        <v>24</v>
      </c>
      <c r="BI105" s="43">
        <f t="shared" si="7"/>
        <v>0.8888888889</v>
      </c>
      <c r="BJ105" s="44">
        <f t="shared" si="8"/>
        <v>3</v>
      </c>
      <c r="BK105" s="42">
        <f t="shared" si="9"/>
        <v>0</v>
      </c>
      <c r="BL105" s="28"/>
      <c r="BM105" s="28"/>
      <c r="BN105" s="28"/>
      <c r="BO105" s="28"/>
    </row>
    <row r="106">
      <c r="A106" s="14">
        <f t="shared" si="2"/>
        <v>103</v>
      </c>
      <c r="B106" s="75">
        <f t="shared" si="3"/>
        <v>45901</v>
      </c>
      <c r="C106" s="48">
        <v>45911.0</v>
      </c>
      <c r="D106" s="57">
        <f t="shared" si="4"/>
        <v>45911</v>
      </c>
      <c r="E106" s="59" t="s">
        <v>121</v>
      </c>
      <c r="F106" s="59" t="s">
        <v>120</v>
      </c>
      <c r="G106" s="59" t="s">
        <v>120</v>
      </c>
      <c r="H106" s="59" t="s">
        <v>121</v>
      </c>
      <c r="I106" s="59" t="s">
        <v>120</v>
      </c>
      <c r="J106" s="59" t="s">
        <v>120</v>
      </c>
      <c r="K106" s="59" t="s">
        <v>120</v>
      </c>
      <c r="L106" s="59" t="s">
        <v>120</v>
      </c>
      <c r="M106" s="59" t="s">
        <v>120</v>
      </c>
      <c r="N106" s="59" t="s">
        <v>120</v>
      </c>
      <c r="O106" s="59" t="s">
        <v>120</v>
      </c>
      <c r="P106" s="59" t="s">
        <v>120</v>
      </c>
      <c r="Q106" s="59" t="s">
        <v>120</v>
      </c>
      <c r="R106" s="59" t="s">
        <v>120</v>
      </c>
      <c r="S106" s="59" t="s">
        <v>120</v>
      </c>
      <c r="T106" s="59" t="s">
        <v>120</v>
      </c>
      <c r="U106" s="59" t="s">
        <v>120</v>
      </c>
      <c r="V106" s="59" t="s">
        <v>120</v>
      </c>
      <c r="W106" s="59" t="s">
        <v>120</v>
      </c>
      <c r="X106" s="59" t="s">
        <v>120</v>
      </c>
      <c r="Y106" s="59" t="s">
        <v>120</v>
      </c>
      <c r="Z106" s="59" t="s">
        <v>120</v>
      </c>
      <c r="AA106" s="59" t="s">
        <v>120</v>
      </c>
      <c r="AB106" s="59" t="s">
        <v>120</v>
      </c>
      <c r="AC106" s="59" t="s">
        <v>121</v>
      </c>
      <c r="AD106" s="59" t="s">
        <v>120</v>
      </c>
      <c r="AE106" s="59" t="s">
        <v>120</v>
      </c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62"/>
      <c r="BE106" s="62"/>
      <c r="BF106" s="62"/>
      <c r="BG106" s="56">
        <f t="shared" si="5"/>
        <v>27</v>
      </c>
      <c r="BH106" s="42">
        <f t="shared" si="6"/>
        <v>24</v>
      </c>
      <c r="BI106" s="43">
        <f t="shared" si="7"/>
        <v>0.8888888889</v>
      </c>
      <c r="BJ106" s="44">
        <f t="shared" si="8"/>
        <v>3</v>
      </c>
      <c r="BK106" s="42">
        <f t="shared" si="9"/>
        <v>0</v>
      </c>
      <c r="BL106" s="28"/>
      <c r="BM106" s="28"/>
      <c r="BN106" s="28"/>
      <c r="BO106" s="28"/>
    </row>
    <row r="107">
      <c r="A107" s="14">
        <f t="shared" si="2"/>
        <v>104</v>
      </c>
      <c r="B107" s="75">
        <f t="shared" si="3"/>
        <v>45901</v>
      </c>
      <c r="C107" s="48">
        <v>45912.0</v>
      </c>
      <c r="D107" s="57">
        <f t="shared" si="4"/>
        <v>45912</v>
      </c>
      <c r="E107" s="59" t="s">
        <v>121</v>
      </c>
      <c r="F107" s="59" t="s">
        <v>120</v>
      </c>
      <c r="G107" s="59" t="s">
        <v>120</v>
      </c>
      <c r="H107" s="59" t="s">
        <v>120</v>
      </c>
      <c r="I107" s="59" t="s">
        <v>120</v>
      </c>
      <c r="J107" s="59" t="s">
        <v>121</v>
      </c>
      <c r="K107" s="59" t="s">
        <v>120</v>
      </c>
      <c r="L107" s="59" t="s">
        <v>120</v>
      </c>
      <c r="M107" s="59" t="s">
        <v>120</v>
      </c>
      <c r="N107" s="59" t="s">
        <v>120</v>
      </c>
      <c r="O107" s="59" t="s">
        <v>120</v>
      </c>
      <c r="P107" s="59" t="s">
        <v>120</v>
      </c>
      <c r="Q107" s="59" t="s">
        <v>120</v>
      </c>
      <c r="R107" s="59" t="s">
        <v>120</v>
      </c>
      <c r="S107" s="59" t="s">
        <v>120</v>
      </c>
      <c r="T107" s="59" t="s">
        <v>120</v>
      </c>
      <c r="U107" s="59" t="s">
        <v>120</v>
      </c>
      <c r="V107" s="59" t="s">
        <v>120</v>
      </c>
      <c r="W107" s="59" t="s">
        <v>120</v>
      </c>
      <c r="X107" s="59" t="s">
        <v>120</v>
      </c>
      <c r="Y107" s="59" t="s">
        <v>120</v>
      </c>
      <c r="Z107" s="59" t="s">
        <v>120</v>
      </c>
      <c r="AA107" s="59" t="s">
        <v>120</v>
      </c>
      <c r="AB107" s="59" t="s">
        <v>120</v>
      </c>
      <c r="AC107" s="59" t="s">
        <v>121</v>
      </c>
      <c r="AD107" s="59" t="s">
        <v>120</v>
      </c>
      <c r="AE107" s="59" t="s">
        <v>120</v>
      </c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62"/>
      <c r="BE107" s="62"/>
      <c r="BF107" s="62"/>
      <c r="BG107" s="56">
        <f t="shared" si="5"/>
        <v>27</v>
      </c>
      <c r="BH107" s="42">
        <f t="shared" si="6"/>
        <v>24</v>
      </c>
      <c r="BI107" s="43">
        <f t="shared" si="7"/>
        <v>0.8888888889</v>
      </c>
      <c r="BJ107" s="44">
        <f t="shared" si="8"/>
        <v>3</v>
      </c>
      <c r="BK107" s="42">
        <f t="shared" si="9"/>
        <v>0</v>
      </c>
      <c r="BL107" s="28"/>
      <c r="BM107" s="28"/>
      <c r="BN107" s="28"/>
      <c r="BO107" s="28"/>
    </row>
    <row r="108">
      <c r="A108" s="14">
        <f t="shared" si="2"/>
        <v>105</v>
      </c>
      <c r="B108" s="75">
        <f t="shared" si="3"/>
        <v>45901</v>
      </c>
      <c r="C108" s="48">
        <v>45913.0</v>
      </c>
      <c r="D108" s="57">
        <f t="shared" si="4"/>
        <v>45913</v>
      </c>
      <c r="E108" s="59" t="s">
        <v>122</v>
      </c>
      <c r="F108" s="59" t="s">
        <v>122</v>
      </c>
      <c r="G108" s="59" t="s">
        <v>122</v>
      </c>
      <c r="H108" s="59" t="s">
        <v>122</v>
      </c>
      <c r="I108" s="59" t="s">
        <v>122</v>
      </c>
      <c r="J108" s="59" t="s">
        <v>122</v>
      </c>
      <c r="K108" s="59" t="s">
        <v>122</v>
      </c>
      <c r="L108" s="59" t="s">
        <v>122</v>
      </c>
      <c r="M108" s="59" t="s">
        <v>122</v>
      </c>
      <c r="N108" s="59" t="s">
        <v>122</v>
      </c>
      <c r="O108" s="59" t="s">
        <v>122</v>
      </c>
      <c r="P108" s="59" t="s">
        <v>122</v>
      </c>
      <c r="Q108" s="59" t="s">
        <v>122</v>
      </c>
      <c r="R108" s="59" t="s">
        <v>122</v>
      </c>
      <c r="S108" s="59" t="s">
        <v>122</v>
      </c>
      <c r="T108" s="59" t="s">
        <v>122</v>
      </c>
      <c r="U108" s="59" t="s">
        <v>122</v>
      </c>
      <c r="V108" s="59" t="s">
        <v>122</v>
      </c>
      <c r="W108" s="59" t="s">
        <v>122</v>
      </c>
      <c r="X108" s="59" t="s">
        <v>122</v>
      </c>
      <c r="Y108" s="59" t="s">
        <v>122</v>
      </c>
      <c r="Z108" s="59" t="s">
        <v>122</v>
      </c>
      <c r="AA108" s="59" t="s">
        <v>122</v>
      </c>
      <c r="AB108" s="59" t="s">
        <v>122</v>
      </c>
      <c r="AC108" s="59" t="s">
        <v>122</v>
      </c>
      <c r="AD108" s="59" t="s">
        <v>122</v>
      </c>
      <c r="AE108" s="59" t="s">
        <v>122</v>
      </c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62"/>
      <c r="BE108" s="62"/>
      <c r="BF108" s="62"/>
      <c r="BG108" s="56">
        <f t="shared" si="5"/>
        <v>0</v>
      </c>
      <c r="BH108" s="42">
        <f t="shared" si="6"/>
        <v>0</v>
      </c>
      <c r="BI108" s="43" t="str">
        <f t="shared" si="7"/>
        <v>#DIV/0!</v>
      </c>
      <c r="BJ108" s="44">
        <f t="shared" si="8"/>
        <v>0</v>
      </c>
      <c r="BK108" s="42">
        <f t="shared" si="9"/>
        <v>0</v>
      </c>
      <c r="BL108" s="28"/>
      <c r="BM108" s="28"/>
      <c r="BN108" s="28"/>
      <c r="BO108" s="28"/>
    </row>
    <row r="109">
      <c r="A109" s="14">
        <f t="shared" si="2"/>
        <v>106</v>
      </c>
      <c r="B109" s="75">
        <f t="shared" si="3"/>
        <v>45901</v>
      </c>
      <c r="C109" s="48">
        <v>45914.0</v>
      </c>
      <c r="D109" s="49">
        <f t="shared" si="4"/>
        <v>45914</v>
      </c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64"/>
      <c r="BE109" s="64"/>
      <c r="BF109" s="64"/>
      <c r="BG109" s="56">
        <f t="shared" si="5"/>
        <v>0</v>
      </c>
      <c r="BH109" s="42">
        <f t="shared" si="6"/>
        <v>0</v>
      </c>
      <c r="BI109" s="43" t="str">
        <f t="shared" si="7"/>
        <v>#DIV/0!</v>
      </c>
      <c r="BJ109" s="44">
        <f t="shared" si="8"/>
        <v>0</v>
      </c>
      <c r="BK109" s="42">
        <f t="shared" si="9"/>
        <v>0</v>
      </c>
      <c r="BL109" s="28"/>
      <c r="BM109" s="28"/>
      <c r="BN109" s="28"/>
      <c r="BO109" s="28"/>
    </row>
    <row r="110">
      <c r="A110" s="14">
        <f t="shared" si="2"/>
        <v>107</v>
      </c>
      <c r="B110" s="75">
        <f t="shared" si="3"/>
        <v>45901</v>
      </c>
      <c r="C110" s="48">
        <v>45915.0</v>
      </c>
      <c r="D110" s="57">
        <f t="shared" si="4"/>
        <v>45915</v>
      </c>
      <c r="E110" s="59" t="s">
        <v>121</v>
      </c>
      <c r="F110" s="59" t="s">
        <v>120</v>
      </c>
      <c r="G110" s="59" t="s">
        <v>121</v>
      </c>
      <c r="H110" s="59" t="s">
        <v>120</v>
      </c>
      <c r="I110" s="59" t="s">
        <v>120</v>
      </c>
      <c r="J110" s="59" t="s">
        <v>120</v>
      </c>
      <c r="K110" s="59" t="s">
        <v>120</v>
      </c>
      <c r="L110" s="59" t="s">
        <v>120</v>
      </c>
      <c r="M110" s="59" t="s">
        <v>121</v>
      </c>
      <c r="N110" s="59" t="s">
        <v>120</v>
      </c>
      <c r="O110" s="59" t="s">
        <v>120</v>
      </c>
      <c r="P110" s="59" t="s">
        <v>120</v>
      </c>
      <c r="Q110" s="59" t="s">
        <v>120</v>
      </c>
      <c r="R110" s="59" t="s">
        <v>121</v>
      </c>
      <c r="S110" s="59" t="s">
        <v>121</v>
      </c>
      <c r="T110" s="59" t="s">
        <v>120</v>
      </c>
      <c r="U110" s="59" t="s">
        <v>121</v>
      </c>
      <c r="V110" s="59" t="s">
        <v>120</v>
      </c>
      <c r="W110" s="59" t="s">
        <v>120</v>
      </c>
      <c r="X110" s="59" t="s">
        <v>120</v>
      </c>
      <c r="Y110" s="59" t="s">
        <v>120</v>
      </c>
      <c r="Z110" s="59" t="s">
        <v>121</v>
      </c>
      <c r="AA110" s="59" t="s">
        <v>120</v>
      </c>
      <c r="AB110" s="59" t="s">
        <v>121</v>
      </c>
      <c r="AC110" s="59" t="s">
        <v>121</v>
      </c>
      <c r="AD110" s="59" t="s">
        <v>120</v>
      </c>
      <c r="AE110" s="59" t="s">
        <v>120</v>
      </c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62"/>
      <c r="BE110" s="62"/>
      <c r="BF110" s="62"/>
      <c r="BG110" s="56">
        <f t="shared" si="5"/>
        <v>27</v>
      </c>
      <c r="BH110" s="42">
        <f t="shared" si="6"/>
        <v>18</v>
      </c>
      <c r="BI110" s="43">
        <f t="shared" si="7"/>
        <v>0.6666666667</v>
      </c>
      <c r="BJ110" s="44">
        <f t="shared" si="8"/>
        <v>9</v>
      </c>
      <c r="BK110" s="42">
        <f t="shared" si="9"/>
        <v>0</v>
      </c>
      <c r="BL110" s="28"/>
      <c r="BM110" s="28"/>
      <c r="BN110" s="28"/>
      <c r="BO110" s="28"/>
    </row>
    <row r="111">
      <c r="A111" s="14">
        <f t="shared" si="2"/>
        <v>108</v>
      </c>
      <c r="B111" s="75">
        <f t="shared" si="3"/>
        <v>45901</v>
      </c>
      <c r="C111" s="48">
        <v>45916.0</v>
      </c>
      <c r="D111" s="57">
        <f t="shared" si="4"/>
        <v>45916</v>
      </c>
      <c r="E111" s="59" t="s">
        <v>121</v>
      </c>
      <c r="F111" s="59" t="s">
        <v>120</v>
      </c>
      <c r="G111" s="59" t="s">
        <v>120</v>
      </c>
      <c r="H111" s="59" t="s">
        <v>120</v>
      </c>
      <c r="I111" s="59" t="s">
        <v>120</v>
      </c>
      <c r="J111" s="59" t="s">
        <v>120</v>
      </c>
      <c r="K111" s="59" t="s">
        <v>120</v>
      </c>
      <c r="L111" s="59" t="s">
        <v>120</v>
      </c>
      <c r="M111" s="59" t="s">
        <v>120</v>
      </c>
      <c r="N111" s="59" t="s">
        <v>120</v>
      </c>
      <c r="O111" s="59" t="s">
        <v>120</v>
      </c>
      <c r="P111" s="59" t="s">
        <v>120</v>
      </c>
      <c r="Q111" s="59" t="s">
        <v>120</v>
      </c>
      <c r="R111" s="59" t="s">
        <v>120</v>
      </c>
      <c r="S111" s="59" t="s">
        <v>120</v>
      </c>
      <c r="T111" s="59" t="s">
        <v>120</v>
      </c>
      <c r="U111" s="59" t="s">
        <v>120</v>
      </c>
      <c r="V111" s="59" t="s">
        <v>120</v>
      </c>
      <c r="W111" s="59" t="s">
        <v>120</v>
      </c>
      <c r="X111" s="59" t="s">
        <v>120</v>
      </c>
      <c r="Y111" s="59" t="s">
        <v>120</v>
      </c>
      <c r="Z111" s="59" t="s">
        <v>120</v>
      </c>
      <c r="AA111" s="59" t="s">
        <v>120</v>
      </c>
      <c r="AB111" s="59" t="s">
        <v>120</v>
      </c>
      <c r="AC111" s="59" t="s">
        <v>121</v>
      </c>
      <c r="AD111" s="59" t="s">
        <v>120</v>
      </c>
      <c r="AE111" s="59" t="s">
        <v>121</v>
      </c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62"/>
      <c r="BE111" s="62"/>
      <c r="BF111" s="62"/>
      <c r="BG111" s="56">
        <f t="shared" si="5"/>
        <v>27</v>
      </c>
      <c r="BH111" s="42">
        <f t="shared" si="6"/>
        <v>24</v>
      </c>
      <c r="BI111" s="43">
        <f t="shared" si="7"/>
        <v>0.8888888889</v>
      </c>
      <c r="BJ111" s="44">
        <f t="shared" si="8"/>
        <v>3</v>
      </c>
      <c r="BK111" s="42">
        <f t="shared" si="9"/>
        <v>0</v>
      </c>
      <c r="BL111" s="28"/>
      <c r="BM111" s="28"/>
      <c r="BN111" s="28"/>
      <c r="BO111" s="28"/>
    </row>
    <row r="112">
      <c r="A112" s="14">
        <f t="shared" si="2"/>
        <v>109</v>
      </c>
      <c r="B112" s="75">
        <f t="shared" si="3"/>
        <v>45901</v>
      </c>
      <c r="C112" s="48">
        <v>45917.0</v>
      </c>
      <c r="D112" s="57">
        <f t="shared" si="4"/>
        <v>45917</v>
      </c>
      <c r="E112" s="59" t="s">
        <v>121</v>
      </c>
      <c r="F112" s="59" t="s">
        <v>120</v>
      </c>
      <c r="G112" s="59" t="s">
        <v>121</v>
      </c>
      <c r="H112" s="59" t="s">
        <v>120</v>
      </c>
      <c r="I112" s="59" t="s">
        <v>120</v>
      </c>
      <c r="J112" s="59" t="s">
        <v>120</v>
      </c>
      <c r="K112" s="59" t="s">
        <v>120</v>
      </c>
      <c r="L112" s="59" t="s">
        <v>120</v>
      </c>
      <c r="M112" s="59" t="s">
        <v>120</v>
      </c>
      <c r="N112" s="59" t="s">
        <v>120</v>
      </c>
      <c r="O112" s="59" t="s">
        <v>120</v>
      </c>
      <c r="P112" s="59" t="s">
        <v>120</v>
      </c>
      <c r="Q112" s="59" t="s">
        <v>120</v>
      </c>
      <c r="R112" s="59" t="s">
        <v>120</v>
      </c>
      <c r="S112" s="59" t="s">
        <v>120</v>
      </c>
      <c r="T112" s="59" t="s">
        <v>120</v>
      </c>
      <c r="U112" s="59" t="s">
        <v>120</v>
      </c>
      <c r="V112" s="59" t="s">
        <v>120</v>
      </c>
      <c r="W112" s="59" t="s">
        <v>120</v>
      </c>
      <c r="X112" s="59" t="s">
        <v>120</v>
      </c>
      <c r="Y112" s="59" t="s">
        <v>120</v>
      </c>
      <c r="Z112" s="59" t="s">
        <v>120</v>
      </c>
      <c r="AA112" s="59" t="s">
        <v>120</v>
      </c>
      <c r="AB112" s="59" t="s">
        <v>120</v>
      </c>
      <c r="AC112" s="59" t="s">
        <v>120</v>
      </c>
      <c r="AD112" s="59" t="s">
        <v>120</v>
      </c>
      <c r="AE112" s="59" t="s">
        <v>120</v>
      </c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62"/>
      <c r="BE112" s="62"/>
      <c r="BF112" s="62"/>
      <c r="BG112" s="56">
        <f t="shared" si="5"/>
        <v>27</v>
      </c>
      <c r="BH112" s="42">
        <f t="shared" si="6"/>
        <v>25</v>
      </c>
      <c r="BI112" s="43">
        <f t="shared" si="7"/>
        <v>0.9259259259</v>
      </c>
      <c r="BJ112" s="44">
        <f t="shared" si="8"/>
        <v>2</v>
      </c>
      <c r="BK112" s="42">
        <f t="shared" si="9"/>
        <v>0</v>
      </c>
      <c r="BL112" s="28"/>
      <c r="BM112" s="28"/>
      <c r="BN112" s="28"/>
      <c r="BO112" s="28"/>
    </row>
    <row r="113">
      <c r="A113" s="14">
        <f t="shared" si="2"/>
        <v>110</v>
      </c>
      <c r="B113" s="75">
        <f t="shared" si="3"/>
        <v>45901</v>
      </c>
      <c r="C113" s="48">
        <v>45918.0</v>
      </c>
      <c r="D113" s="57">
        <f t="shared" si="4"/>
        <v>45918</v>
      </c>
      <c r="E113" s="58" t="s">
        <v>121</v>
      </c>
      <c r="F113" s="58" t="s">
        <v>120</v>
      </c>
      <c r="G113" s="58" t="s">
        <v>120</v>
      </c>
      <c r="H113" s="58" t="s">
        <v>121</v>
      </c>
      <c r="I113" s="58" t="s">
        <v>120</v>
      </c>
      <c r="J113" s="58" t="s">
        <v>120</v>
      </c>
      <c r="K113" s="58" t="s">
        <v>120</v>
      </c>
      <c r="L113" s="58" t="s">
        <v>120</v>
      </c>
      <c r="M113" s="58" t="s">
        <v>120</v>
      </c>
      <c r="N113" s="58" t="s">
        <v>120</v>
      </c>
      <c r="O113" s="58" t="s">
        <v>120</v>
      </c>
      <c r="P113" s="58" t="s">
        <v>120</v>
      </c>
      <c r="Q113" s="58" t="s">
        <v>120</v>
      </c>
      <c r="R113" s="58" t="s">
        <v>120</v>
      </c>
      <c r="S113" s="58" t="s">
        <v>121</v>
      </c>
      <c r="T113" s="58" t="s">
        <v>120</v>
      </c>
      <c r="U113" s="58" t="s">
        <v>121</v>
      </c>
      <c r="V113" s="58" t="s">
        <v>120</v>
      </c>
      <c r="W113" s="58" t="s">
        <v>120</v>
      </c>
      <c r="X113" s="58" t="s">
        <v>121</v>
      </c>
      <c r="Y113" s="58" t="s">
        <v>120</v>
      </c>
      <c r="Z113" s="58" t="s">
        <v>121</v>
      </c>
      <c r="AA113" s="58" t="s">
        <v>120</v>
      </c>
      <c r="AB113" s="58" t="s">
        <v>120</v>
      </c>
      <c r="AC113" s="58" t="s">
        <v>121</v>
      </c>
      <c r="AD113" s="58" t="s">
        <v>120</v>
      </c>
      <c r="AE113" s="58" t="s">
        <v>120</v>
      </c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62"/>
      <c r="BE113" s="62"/>
      <c r="BF113" s="62"/>
      <c r="BG113" s="56">
        <f t="shared" si="5"/>
        <v>27</v>
      </c>
      <c r="BH113" s="42">
        <f t="shared" si="6"/>
        <v>20</v>
      </c>
      <c r="BI113" s="43">
        <f t="shared" si="7"/>
        <v>0.7407407407</v>
      </c>
      <c r="BJ113" s="44">
        <f t="shared" si="8"/>
        <v>7</v>
      </c>
      <c r="BK113" s="42">
        <f t="shared" si="9"/>
        <v>0</v>
      </c>
      <c r="BL113" s="28"/>
      <c r="BM113" s="28"/>
      <c r="BN113" s="28"/>
      <c r="BO113" s="28"/>
    </row>
    <row r="114">
      <c r="A114" s="14">
        <f t="shared" si="2"/>
        <v>111</v>
      </c>
      <c r="B114" s="75">
        <f t="shared" si="3"/>
        <v>45901</v>
      </c>
      <c r="C114" s="48">
        <v>45919.0</v>
      </c>
      <c r="D114" s="57">
        <f t="shared" si="4"/>
        <v>45919</v>
      </c>
      <c r="E114" s="59" t="s">
        <v>121</v>
      </c>
      <c r="F114" s="59" t="s">
        <v>120</v>
      </c>
      <c r="G114" s="59" t="s">
        <v>120</v>
      </c>
      <c r="H114" s="59" t="s">
        <v>120</v>
      </c>
      <c r="I114" s="59" t="s">
        <v>120</v>
      </c>
      <c r="J114" s="59" t="s">
        <v>120</v>
      </c>
      <c r="K114" s="59" t="s">
        <v>120</v>
      </c>
      <c r="L114" s="59" t="s">
        <v>120</v>
      </c>
      <c r="M114" s="59" t="s">
        <v>120</v>
      </c>
      <c r="N114" s="59" t="s">
        <v>120</v>
      </c>
      <c r="O114" s="59" t="s">
        <v>120</v>
      </c>
      <c r="P114" s="59" t="s">
        <v>120</v>
      </c>
      <c r="Q114" s="59" t="s">
        <v>120</v>
      </c>
      <c r="R114" s="59" t="s">
        <v>121</v>
      </c>
      <c r="S114" s="59" t="s">
        <v>120</v>
      </c>
      <c r="T114" s="59" t="s">
        <v>120</v>
      </c>
      <c r="U114" s="59" t="s">
        <v>120</v>
      </c>
      <c r="V114" s="59" t="s">
        <v>120</v>
      </c>
      <c r="W114" s="59" t="s">
        <v>120</v>
      </c>
      <c r="X114" s="59" t="s">
        <v>121</v>
      </c>
      <c r="Y114" s="59" t="s">
        <v>120</v>
      </c>
      <c r="Z114" s="59" t="s">
        <v>120</v>
      </c>
      <c r="AA114" s="59" t="s">
        <v>120</v>
      </c>
      <c r="AB114" s="59" t="s">
        <v>120</v>
      </c>
      <c r="AC114" s="59" t="s">
        <v>121</v>
      </c>
      <c r="AD114" s="59" t="s">
        <v>120</v>
      </c>
      <c r="AE114" s="59" t="s">
        <v>120</v>
      </c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62"/>
      <c r="BE114" s="62"/>
      <c r="BF114" s="62"/>
      <c r="BG114" s="56">
        <f t="shared" si="5"/>
        <v>27</v>
      </c>
      <c r="BH114" s="42">
        <f t="shared" si="6"/>
        <v>23</v>
      </c>
      <c r="BI114" s="43">
        <f t="shared" si="7"/>
        <v>0.8518518519</v>
      </c>
      <c r="BJ114" s="44">
        <f t="shared" si="8"/>
        <v>4</v>
      </c>
      <c r="BK114" s="42">
        <f t="shared" si="9"/>
        <v>0</v>
      </c>
      <c r="BL114" s="28"/>
      <c r="BM114" s="28"/>
      <c r="BN114" s="28"/>
      <c r="BO114" s="28"/>
    </row>
    <row r="115">
      <c r="A115" s="14">
        <f t="shared" si="2"/>
        <v>112</v>
      </c>
      <c r="B115" s="75">
        <f t="shared" si="3"/>
        <v>45901</v>
      </c>
      <c r="C115" s="48">
        <v>45920.0</v>
      </c>
      <c r="D115" s="57">
        <f t="shared" si="4"/>
        <v>45920</v>
      </c>
      <c r="E115" s="59" t="s">
        <v>120</v>
      </c>
      <c r="F115" s="59" t="s">
        <v>120</v>
      </c>
      <c r="G115" s="59" t="s">
        <v>120</v>
      </c>
      <c r="H115" s="59" t="s">
        <v>121</v>
      </c>
      <c r="I115" s="59" t="s">
        <v>120</v>
      </c>
      <c r="J115" s="59" t="s">
        <v>120</v>
      </c>
      <c r="K115" s="59" t="s">
        <v>120</v>
      </c>
      <c r="L115" s="59" t="s">
        <v>120</v>
      </c>
      <c r="M115" s="59" t="s">
        <v>120</v>
      </c>
      <c r="N115" s="59" t="s">
        <v>120</v>
      </c>
      <c r="O115" s="59" t="s">
        <v>120</v>
      </c>
      <c r="P115" s="59" t="s">
        <v>120</v>
      </c>
      <c r="Q115" s="59" t="s">
        <v>120</v>
      </c>
      <c r="R115" s="59" t="s">
        <v>120</v>
      </c>
      <c r="S115" s="59" t="s">
        <v>120</v>
      </c>
      <c r="T115" s="59" t="s">
        <v>120</v>
      </c>
      <c r="U115" s="59" t="s">
        <v>120</v>
      </c>
      <c r="V115" s="59" t="s">
        <v>120</v>
      </c>
      <c r="W115" s="59" t="s">
        <v>120</v>
      </c>
      <c r="X115" s="59" t="s">
        <v>121</v>
      </c>
      <c r="Y115" s="59" t="s">
        <v>120</v>
      </c>
      <c r="Z115" s="59" t="s">
        <v>120</v>
      </c>
      <c r="AA115" s="59" t="s">
        <v>120</v>
      </c>
      <c r="AB115" s="59" t="s">
        <v>121</v>
      </c>
      <c r="AC115" s="59" t="s">
        <v>120</v>
      </c>
      <c r="AD115" s="59" t="s">
        <v>120</v>
      </c>
      <c r="AE115" s="59" t="s">
        <v>120</v>
      </c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62"/>
      <c r="BE115" s="62"/>
      <c r="BF115" s="62"/>
      <c r="BG115" s="56">
        <f t="shared" si="5"/>
        <v>27</v>
      </c>
      <c r="BH115" s="42">
        <f t="shared" si="6"/>
        <v>24</v>
      </c>
      <c r="BI115" s="43">
        <f t="shared" si="7"/>
        <v>0.8888888889</v>
      </c>
      <c r="BJ115" s="44">
        <f t="shared" si="8"/>
        <v>3</v>
      </c>
      <c r="BK115" s="42">
        <f t="shared" si="9"/>
        <v>0</v>
      </c>
      <c r="BL115" s="28"/>
      <c r="BM115" s="28"/>
      <c r="BN115" s="28"/>
      <c r="BO115" s="28"/>
    </row>
    <row r="116">
      <c r="A116" s="14">
        <f t="shared" si="2"/>
        <v>113</v>
      </c>
      <c r="B116" s="75">
        <f t="shared" si="3"/>
        <v>45901</v>
      </c>
      <c r="C116" s="48">
        <v>45921.0</v>
      </c>
      <c r="D116" s="49">
        <f t="shared" si="4"/>
        <v>45921</v>
      </c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64"/>
      <c r="BE116" s="64"/>
      <c r="BF116" s="64"/>
      <c r="BG116" s="56">
        <f t="shared" si="5"/>
        <v>0</v>
      </c>
      <c r="BH116" s="42">
        <f t="shared" si="6"/>
        <v>0</v>
      </c>
      <c r="BI116" s="43" t="str">
        <f t="shared" si="7"/>
        <v>#DIV/0!</v>
      </c>
      <c r="BJ116" s="44">
        <f t="shared" si="8"/>
        <v>0</v>
      </c>
      <c r="BK116" s="42">
        <f t="shared" si="9"/>
        <v>0</v>
      </c>
      <c r="BL116" s="28"/>
      <c r="BM116" s="28"/>
      <c r="BN116" s="28"/>
      <c r="BO116" s="28"/>
    </row>
    <row r="117">
      <c r="A117" s="14">
        <f t="shared" si="2"/>
        <v>114</v>
      </c>
      <c r="B117" s="75">
        <f t="shared" si="3"/>
        <v>45901</v>
      </c>
      <c r="C117" s="48">
        <v>45922.0</v>
      </c>
      <c r="D117" s="57">
        <f t="shared" si="4"/>
        <v>45922</v>
      </c>
      <c r="E117" s="59" t="s">
        <v>121</v>
      </c>
      <c r="F117" s="59" t="s">
        <v>120</v>
      </c>
      <c r="G117" s="59" t="s">
        <v>120</v>
      </c>
      <c r="H117" s="59" t="s">
        <v>121</v>
      </c>
      <c r="I117" s="59" t="s">
        <v>120</v>
      </c>
      <c r="J117" s="59" t="s">
        <v>120</v>
      </c>
      <c r="K117" s="59" t="s">
        <v>120</v>
      </c>
      <c r="L117" s="59" t="s">
        <v>120</v>
      </c>
      <c r="M117" s="59" t="s">
        <v>120</v>
      </c>
      <c r="N117" s="59" t="s">
        <v>120</v>
      </c>
      <c r="O117" s="59" t="s">
        <v>120</v>
      </c>
      <c r="P117" s="59" t="s">
        <v>120</v>
      </c>
      <c r="Q117" s="59" t="s">
        <v>120</v>
      </c>
      <c r="R117" s="59" t="s">
        <v>121</v>
      </c>
      <c r="S117" s="59" t="s">
        <v>120</v>
      </c>
      <c r="T117" s="59" t="s">
        <v>121</v>
      </c>
      <c r="U117" s="59" t="s">
        <v>120</v>
      </c>
      <c r="V117" s="59" t="s">
        <v>120</v>
      </c>
      <c r="W117" s="59" t="s">
        <v>120</v>
      </c>
      <c r="X117" s="59" t="s">
        <v>121</v>
      </c>
      <c r="Y117" s="59" t="s">
        <v>121</v>
      </c>
      <c r="Z117" s="59" t="s">
        <v>120</v>
      </c>
      <c r="AA117" s="59" t="s">
        <v>120</v>
      </c>
      <c r="AB117" s="59" t="s">
        <v>121</v>
      </c>
      <c r="AC117" s="59" t="s">
        <v>121</v>
      </c>
      <c r="AD117" s="59" t="s">
        <v>120</v>
      </c>
      <c r="AE117" s="59" t="s">
        <v>121</v>
      </c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62"/>
      <c r="BE117" s="62"/>
      <c r="BF117" s="62"/>
      <c r="BG117" s="56">
        <f t="shared" si="5"/>
        <v>27</v>
      </c>
      <c r="BH117" s="42">
        <f t="shared" si="6"/>
        <v>18</v>
      </c>
      <c r="BI117" s="43">
        <f t="shared" si="7"/>
        <v>0.6666666667</v>
      </c>
      <c r="BJ117" s="44">
        <f t="shared" si="8"/>
        <v>9</v>
      </c>
      <c r="BK117" s="42">
        <f t="shared" si="9"/>
        <v>0</v>
      </c>
      <c r="BL117" s="28"/>
      <c r="BM117" s="28"/>
      <c r="BN117" s="28"/>
      <c r="BO117" s="28"/>
    </row>
    <row r="118">
      <c r="A118" s="14">
        <f t="shared" si="2"/>
        <v>115</v>
      </c>
      <c r="B118" s="75">
        <f t="shared" si="3"/>
        <v>45901</v>
      </c>
      <c r="C118" s="48">
        <v>45923.0</v>
      </c>
      <c r="D118" s="57">
        <f t="shared" si="4"/>
        <v>45923</v>
      </c>
      <c r="E118" s="59" t="s">
        <v>121</v>
      </c>
      <c r="F118" s="59" t="s">
        <v>120</v>
      </c>
      <c r="G118" s="59" t="s">
        <v>120</v>
      </c>
      <c r="H118" s="59" t="s">
        <v>120</v>
      </c>
      <c r="I118" s="59" t="s">
        <v>120</v>
      </c>
      <c r="J118" s="59" t="s">
        <v>120</v>
      </c>
      <c r="K118" s="59" t="s">
        <v>120</v>
      </c>
      <c r="L118" s="59" t="s">
        <v>121</v>
      </c>
      <c r="M118" s="59" t="s">
        <v>120</v>
      </c>
      <c r="N118" s="59" t="s">
        <v>120</v>
      </c>
      <c r="O118" s="59" t="s">
        <v>120</v>
      </c>
      <c r="P118" s="59" t="s">
        <v>120</v>
      </c>
      <c r="Q118" s="59" t="s">
        <v>120</v>
      </c>
      <c r="R118" s="59" t="s">
        <v>120</v>
      </c>
      <c r="S118" s="59" t="s">
        <v>121</v>
      </c>
      <c r="T118" s="59" t="s">
        <v>120</v>
      </c>
      <c r="U118" s="59" t="s">
        <v>121</v>
      </c>
      <c r="V118" s="59" t="s">
        <v>120</v>
      </c>
      <c r="W118" s="59" t="s">
        <v>120</v>
      </c>
      <c r="X118" s="59" t="s">
        <v>120</v>
      </c>
      <c r="Y118" s="59" t="s">
        <v>120</v>
      </c>
      <c r="Z118" s="59" t="s">
        <v>121</v>
      </c>
      <c r="AA118" s="59" t="s">
        <v>120</v>
      </c>
      <c r="AB118" s="59" t="s">
        <v>121</v>
      </c>
      <c r="AC118" s="59" t="s">
        <v>121</v>
      </c>
      <c r="AD118" s="59" t="s">
        <v>121</v>
      </c>
      <c r="AE118" s="59" t="s">
        <v>120</v>
      </c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62"/>
      <c r="BE118" s="62"/>
      <c r="BF118" s="62"/>
      <c r="BG118" s="56">
        <f t="shared" si="5"/>
        <v>27</v>
      </c>
      <c r="BH118" s="42">
        <f t="shared" si="6"/>
        <v>19</v>
      </c>
      <c r="BI118" s="43">
        <f t="shared" si="7"/>
        <v>0.7037037037</v>
      </c>
      <c r="BJ118" s="44">
        <f t="shared" si="8"/>
        <v>8</v>
      </c>
      <c r="BK118" s="42">
        <f t="shared" si="9"/>
        <v>0</v>
      </c>
      <c r="BL118" s="28"/>
      <c r="BM118" s="28"/>
      <c r="BN118" s="28"/>
      <c r="BO118" s="28"/>
    </row>
    <row r="119">
      <c r="A119" s="14">
        <f t="shared" si="2"/>
        <v>116</v>
      </c>
      <c r="B119" s="75">
        <f t="shared" si="3"/>
        <v>45901</v>
      </c>
      <c r="C119" s="48">
        <v>45924.0</v>
      </c>
      <c r="D119" s="57">
        <f t="shared" si="4"/>
        <v>45924</v>
      </c>
      <c r="E119" s="59" t="s">
        <v>121</v>
      </c>
      <c r="F119" s="59" t="s">
        <v>120</v>
      </c>
      <c r="G119" s="59" t="s">
        <v>120</v>
      </c>
      <c r="H119" s="59" t="s">
        <v>120</v>
      </c>
      <c r="I119" s="59" t="s">
        <v>120</v>
      </c>
      <c r="J119" s="59" t="s">
        <v>120</v>
      </c>
      <c r="K119" s="59" t="s">
        <v>120</v>
      </c>
      <c r="L119" s="59" t="s">
        <v>120</v>
      </c>
      <c r="M119" s="59" t="s">
        <v>120</v>
      </c>
      <c r="N119" s="59" t="s">
        <v>120</v>
      </c>
      <c r="O119" s="59" t="s">
        <v>120</v>
      </c>
      <c r="P119" s="59" t="s">
        <v>121</v>
      </c>
      <c r="Q119" s="59" t="s">
        <v>120</v>
      </c>
      <c r="R119" s="59" t="s">
        <v>120</v>
      </c>
      <c r="S119" s="59" t="s">
        <v>121</v>
      </c>
      <c r="T119" s="59" t="s">
        <v>120</v>
      </c>
      <c r="U119" s="59" t="s">
        <v>121</v>
      </c>
      <c r="V119" s="59" t="s">
        <v>121</v>
      </c>
      <c r="W119" s="59" t="s">
        <v>120</v>
      </c>
      <c r="X119" s="59" t="s">
        <v>120</v>
      </c>
      <c r="Y119" s="59" t="s">
        <v>120</v>
      </c>
      <c r="Z119" s="59" t="s">
        <v>121</v>
      </c>
      <c r="AA119" s="59" t="s">
        <v>120</v>
      </c>
      <c r="AB119" s="59" t="s">
        <v>121</v>
      </c>
      <c r="AC119" s="59" t="s">
        <v>121</v>
      </c>
      <c r="AD119" s="59" t="s">
        <v>120</v>
      </c>
      <c r="AE119" s="59" t="s">
        <v>120</v>
      </c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62"/>
      <c r="BE119" s="62"/>
      <c r="BF119" s="62"/>
      <c r="BG119" s="56">
        <f t="shared" si="5"/>
        <v>27</v>
      </c>
      <c r="BH119" s="42">
        <f t="shared" si="6"/>
        <v>19</v>
      </c>
      <c r="BI119" s="43">
        <f t="shared" si="7"/>
        <v>0.7037037037</v>
      </c>
      <c r="BJ119" s="44">
        <f t="shared" si="8"/>
        <v>8</v>
      </c>
      <c r="BK119" s="42">
        <f t="shared" si="9"/>
        <v>0</v>
      </c>
      <c r="BL119" s="28"/>
      <c r="BM119" s="28"/>
      <c r="BN119" s="28"/>
      <c r="BO119" s="28"/>
    </row>
    <row r="120">
      <c r="A120" s="14">
        <f t="shared" si="2"/>
        <v>117</v>
      </c>
      <c r="B120" s="75">
        <f t="shared" si="3"/>
        <v>45901</v>
      </c>
      <c r="C120" s="48">
        <v>45925.0</v>
      </c>
      <c r="D120" s="57">
        <f t="shared" si="4"/>
        <v>45925</v>
      </c>
      <c r="E120" s="59" t="s">
        <v>121</v>
      </c>
      <c r="F120" s="59" t="s">
        <v>120</v>
      </c>
      <c r="G120" s="59" t="s">
        <v>120</v>
      </c>
      <c r="H120" s="59" t="s">
        <v>120</v>
      </c>
      <c r="I120" s="59" t="s">
        <v>120</v>
      </c>
      <c r="J120" s="59" t="s">
        <v>120</v>
      </c>
      <c r="K120" s="59" t="s">
        <v>120</v>
      </c>
      <c r="L120" s="59" t="s">
        <v>121</v>
      </c>
      <c r="M120" s="59" t="s">
        <v>120</v>
      </c>
      <c r="N120" s="59" t="s">
        <v>120</v>
      </c>
      <c r="O120" s="59" t="s">
        <v>120</v>
      </c>
      <c r="P120" s="59" t="s">
        <v>120</v>
      </c>
      <c r="Q120" s="59" t="s">
        <v>121</v>
      </c>
      <c r="R120" s="59" t="s">
        <v>120</v>
      </c>
      <c r="S120" s="59" t="s">
        <v>121</v>
      </c>
      <c r="T120" s="59" t="s">
        <v>120</v>
      </c>
      <c r="U120" s="59" t="s">
        <v>120</v>
      </c>
      <c r="V120" s="59" t="s">
        <v>120</v>
      </c>
      <c r="W120" s="59" t="s">
        <v>120</v>
      </c>
      <c r="X120" s="59" t="s">
        <v>121</v>
      </c>
      <c r="Y120" s="59" t="s">
        <v>120</v>
      </c>
      <c r="Z120" s="59" t="s">
        <v>120</v>
      </c>
      <c r="AA120" s="59" t="s">
        <v>120</v>
      </c>
      <c r="AB120" s="59" t="s">
        <v>121</v>
      </c>
      <c r="AC120" s="59" t="s">
        <v>121</v>
      </c>
      <c r="AD120" s="59" t="s">
        <v>120</v>
      </c>
      <c r="AE120" s="59" t="s">
        <v>120</v>
      </c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62"/>
      <c r="BE120" s="62"/>
      <c r="BF120" s="62"/>
      <c r="BG120" s="56">
        <f t="shared" si="5"/>
        <v>27</v>
      </c>
      <c r="BH120" s="42">
        <f t="shared" si="6"/>
        <v>20</v>
      </c>
      <c r="BI120" s="43">
        <f t="shared" si="7"/>
        <v>0.7407407407</v>
      </c>
      <c r="BJ120" s="44">
        <f t="shared" si="8"/>
        <v>7</v>
      </c>
      <c r="BK120" s="42">
        <f t="shared" si="9"/>
        <v>0</v>
      </c>
      <c r="BL120" s="28"/>
      <c r="BM120" s="28"/>
      <c r="BN120" s="28"/>
      <c r="BO120" s="28"/>
    </row>
    <row r="121">
      <c r="A121" s="14">
        <f t="shared" si="2"/>
        <v>118</v>
      </c>
      <c r="B121" s="75">
        <f t="shared" si="3"/>
        <v>45901</v>
      </c>
      <c r="C121" s="48">
        <v>45926.0</v>
      </c>
      <c r="D121" s="57">
        <f t="shared" si="4"/>
        <v>45926</v>
      </c>
      <c r="E121" s="59" t="s">
        <v>121</v>
      </c>
      <c r="F121" s="59" t="s">
        <v>120</v>
      </c>
      <c r="G121" s="59" t="s">
        <v>120</v>
      </c>
      <c r="H121" s="59" t="s">
        <v>121</v>
      </c>
      <c r="I121" s="59" t="s">
        <v>120</v>
      </c>
      <c r="J121" s="59" t="s">
        <v>120</v>
      </c>
      <c r="K121" s="59" t="s">
        <v>120</v>
      </c>
      <c r="L121" s="59" t="s">
        <v>120</v>
      </c>
      <c r="M121" s="59" t="s">
        <v>121</v>
      </c>
      <c r="N121" s="59" t="s">
        <v>120</v>
      </c>
      <c r="O121" s="59" t="s">
        <v>120</v>
      </c>
      <c r="P121" s="59" t="s">
        <v>120</v>
      </c>
      <c r="Q121" s="59" t="s">
        <v>120</v>
      </c>
      <c r="R121" s="59" t="s">
        <v>120</v>
      </c>
      <c r="S121" s="59" t="s">
        <v>120</v>
      </c>
      <c r="T121" s="59" t="s">
        <v>120</v>
      </c>
      <c r="U121" s="59" t="s">
        <v>120</v>
      </c>
      <c r="V121" s="59" t="s">
        <v>120</v>
      </c>
      <c r="W121" s="59" t="s">
        <v>120</v>
      </c>
      <c r="X121" s="59" t="s">
        <v>120</v>
      </c>
      <c r="Y121" s="59" t="s">
        <v>120</v>
      </c>
      <c r="Z121" s="59" t="s">
        <v>120</v>
      </c>
      <c r="AA121" s="59" t="s">
        <v>120</v>
      </c>
      <c r="AB121" s="59" t="s">
        <v>121</v>
      </c>
      <c r="AC121" s="59" t="s">
        <v>121</v>
      </c>
      <c r="AD121" s="59" t="s">
        <v>120</v>
      </c>
      <c r="AE121" s="59" t="s">
        <v>120</v>
      </c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62"/>
      <c r="BE121" s="62"/>
      <c r="BF121" s="62"/>
      <c r="BG121" s="56">
        <f t="shared" si="5"/>
        <v>27</v>
      </c>
      <c r="BH121" s="42">
        <f t="shared" si="6"/>
        <v>22</v>
      </c>
      <c r="BI121" s="43">
        <f t="shared" si="7"/>
        <v>0.8148148148</v>
      </c>
      <c r="BJ121" s="44">
        <f t="shared" si="8"/>
        <v>5</v>
      </c>
      <c r="BK121" s="42">
        <f t="shared" si="9"/>
        <v>0</v>
      </c>
      <c r="BL121" s="28"/>
      <c r="BM121" s="28"/>
      <c r="BN121" s="28"/>
      <c r="BO121" s="28"/>
    </row>
    <row r="122">
      <c r="A122" s="14">
        <f t="shared" si="2"/>
        <v>119</v>
      </c>
      <c r="B122" s="75">
        <f t="shared" si="3"/>
        <v>45901</v>
      </c>
      <c r="C122" s="48">
        <v>45927.0</v>
      </c>
      <c r="D122" s="57">
        <f t="shared" si="4"/>
        <v>45927</v>
      </c>
      <c r="E122" s="59" t="s">
        <v>121</v>
      </c>
      <c r="F122" s="59" t="s">
        <v>120</v>
      </c>
      <c r="G122" s="59" t="s">
        <v>121</v>
      </c>
      <c r="H122" s="59" t="s">
        <v>121</v>
      </c>
      <c r="I122" s="59" t="s">
        <v>120</v>
      </c>
      <c r="J122" s="59" t="s">
        <v>120</v>
      </c>
      <c r="K122" s="59" t="s">
        <v>120</v>
      </c>
      <c r="L122" s="59" t="s">
        <v>120</v>
      </c>
      <c r="M122" s="59" t="s">
        <v>120</v>
      </c>
      <c r="N122" s="59" t="s">
        <v>120</v>
      </c>
      <c r="O122" s="59" t="s">
        <v>120</v>
      </c>
      <c r="P122" s="59" t="s">
        <v>120</v>
      </c>
      <c r="Q122" s="59" t="s">
        <v>120</v>
      </c>
      <c r="R122" s="59" t="s">
        <v>121</v>
      </c>
      <c r="S122" s="59" t="s">
        <v>120</v>
      </c>
      <c r="T122" s="59" t="s">
        <v>120</v>
      </c>
      <c r="U122" s="59" t="s">
        <v>120</v>
      </c>
      <c r="V122" s="59" t="s">
        <v>120</v>
      </c>
      <c r="W122" s="59" t="s">
        <v>121</v>
      </c>
      <c r="X122" s="59" t="s">
        <v>120</v>
      </c>
      <c r="Y122" s="59" t="s">
        <v>120</v>
      </c>
      <c r="Z122" s="59" t="s">
        <v>120</v>
      </c>
      <c r="AA122" s="59" t="s">
        <v>120</v>
      </c>
      <c r="AB122" s="59" t="s">
        <v>121</v>
      </c>
      <c r="AC122" s="59" t="s">
        <v>121</v>
      </c>
      <c r="AD122" s="59" t="s">
        <v>120</v>
      </c>
      <c r="AE122" s="59" t="s">
        <v>120</v>
      </c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  <c r="BD122" s="62"/>
      <c r="BE122" s="62"/>
      <c r="BF122" s="62"/>
      <c r="BG122" s="56">
        <f t="shared" si="5"/>
        <v>27</v>
      </c>
      <c r="BH122" s="42">
        <f t="shared" si="6"/>
        <v>20</v>
      </c>
      <c r="BI122" s="43">
        <f t="shared" si="7"/>
        <v>0.7407407407</v>
      </c>
      <c r="BJ122" s="44">
        <f t="shared" si="8"/>
        <v>7</v>
      </c>
      <c r="BK122" s="42">
        <f t="shared" si="9"/>
        <v>0</v>
      </c>
      <c r="BL122" s="28"/>
      <c r="BM122" s="28"/>
      <c r="BN122" s="28"/>
      <c r="BO122" s="28"/>
    </row>
    <row r="123">
      <c r="A123" s="14">
        <f t="shared" si="2"/>
        <v>120</v>
      </c>
      <c r="B123" s="75">
        <f t="shared" si="3"/>
        <v>45901</v>
      </c>
      <c r="C123" s="48">
        <v>45928.0</v>
      </c>
      <c r="D123" s="49">
        <f t="shared" si="4"/>
        <v>45928</v>
      </c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64"/>
      <c r="BE123" s="64"/>
      <c r="BF123" s="64"/>
      <c r="BG123" s="56">
        <f t="shared" si="5"/>
        <v>0</v>
      </c>
      <c r="BH123" s="42">
        <f t="shared" si="6"/>
        <v>0</v>
      </c>
      <c r="BI123" s="43" t="str">
        <f t="shared" si="7"/>
        <v>#DIV/0!</v>
      </c>
      <c r="BJ123" s="44">
        <f t="shared" si="8"/>
        <v>0</v>
      </c>
      <c r="BK123" s="42">
        <f t="shared" si="9"/>
        <v>0</v>
      </c>
      <c r="BL123" s="28"/>
      <c r="BM123" s="28"/>
      <c r="BN123" s="28"/>
      <c r="BO123" s="28"/>
    </row>
    <row r="124">
      <c r="A124" s="14">
        <f t="shared" si="2"/>
        <v>121</v>
      </c>
      <c r="B124" s="75">
        <f t="shared" si="3"/>
        <v>45901</v>
      </c>
      <c r="C124" s="48">
        <v>45929.0</v>
      </c>
      <c r="D124" s="57">
        <f t="shared" si="4"/>
        <v>45929</v>
      </c>
      <c r="E124" s="59" t="s">
        <v>121</v>
      </c>
      <c r="F124" s="59" t="s">
        <v>120</v>
      </c>
      <c r="G124" s="59" t="s">
        <v>120</v>
      </c>
      <c r="H124" s="59" t="s">
        <v>120</v>
      </c>
      <c r="I124" s="59" t="s">
        <v>120</v>
      </c>
      <c r="J124" s="59" t="s">
        <v>121</v>
      </c>
      <c r="K124" s="59" t="s">
        <v>120</v>
      </c>
      <c r="L124" s="59" t="s">
        <v>120</v>
      </c>
      <c r="M124" s="59" t="s">
        <v>120</v>
      </c>
      <c r="N124" s="59" t="s">
        <v>120</v>
      </c>
      <c r="O124" s="59" t="s">
        <v>120</v>
      </c>
      <c r="P124" s="59" t="s">
        <v>120</v>
      </c>
      <c r="Q124" s="59" t="s">
        <v>120</v>
      </c>
      <c r="R124" s="59" t="s">
        <v>120</v>
      </c>
      <c r="S124" s="59" t="s">
        <v>120</v>
      </c>
      <c r="T124" s="59" t="s">
        <v>120</v>
      </c>
      <c r="U124" s="76" t="s">
        <v>120</v>
      </c>
      <c r="V124" s="59" t="s">
        <v>120</v>
      </c>
      <c r="W124" s="59" t="s">
        <v>120</v>
      </c>
      <c r="X124" s="59" t="s">
        <v>120</v>
      </c>
      <c r="Y124" s="59" t="s">
        <v>120</v>
      </c>
      <c r="Z124" s="59" t="s">
        <v>120</v>
      </c>
      <c r="AA124" s="59" t="s">
        <v>120</v>
      </c>
      <c r="AB124" s="59" t="s">
        <v>121</v>
      </c>
      <c r="AC124" s="59" t="s">
        <v>121</v>
      </c>
      <c r="AD124" s="59" t="s">
        <v>121</v>
      </c>
      <c r="AE124" s="59" t="s">
        <v>120</v>
      </c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62"/>
      <c r="BE124" s="62"/>
      <c r="BF124" s="62"/>
      <c r="BG124" s="56">
        <f t="shared" si="5"/>
        <v>27</v>
      </c>
      <c r="BH124" s="42">
        <f t="shared" si="6"/>
        <v>22</v>
      </c>
      <c r="BI124" s="43">
        <f t="shared" si="7"/>
        <v>0.8148148148</v>
      </c>
      <c r="BJ124" s="44">
        <f t="shared" si="8"/>
        <v>5</v>
      </c>
      <c r="BK124" s="42">
        <f t="shared" si="9"/>
        <v>0</v>
      </c>
      <c r="BL124" s="28"/>
      <c r="BM124" s="28"/>
      <c r="BN124" s="28"/>
      <c r="BO124" s="28"/>
    </row>
    <row r="125">
      <c r="A125" s="14">
        <f t="shared" si="2"/>
        <v>122</v>
      </c>
      <c r="B125" s="75">
        <f t="shared" si="3"/>
        <v>45901</v>
      </c>
      <c r="C125" s="48">
        <v>45930.0</v>
      </c>
      <c r="D125" s="57">
        <f t="shared" si="4"/>
        <v>45930</v>
      </c>
      <c r="E125" s="59" t="s">
        <v>121</v>
      </c>
      <c r="F125" s="59" t="s">
        <v>121</v>
      </c>
      <c r="G125" s="59" t="s">
        <v>121</v>
      </c>
      <c r="H125" s="59" t="s">
        <v>121</v>
      </c>
      <c r="I125" s="59" t="s">
        <v>120</v>
      </c>
      <c r="J125" s="59" t="s">
        <v>121</v>
      </c>
      <c r="K125" s="59" t="s">
        <v>120</v>
      </c>
      <c r="L125" s="59" t="s">
        <v>120</v>
      </c>
      <c r="M125" s="59" t="s">
        <v>120</v>
      </c>
      <c r="N125" s="59" t="s">
        <v>120</v>
      </c>
      <c r="O125" s="59" t="s">
        <v>120</v>
      </c>
      <c r="P125" s="59" t="s">
        <v>120</v>
      </c>
      <c r="Q125" s="59" t="s">
        <v>120</v>
      </c>
      <c r="R125" s="59" t="s">
        <v>120</v>
      </c>
      <c r="S125" s="59" t="s">
        <v>120</v>
      </c>
      <c r="T125" s="59" t="s">
        <v>120</v>
      </c>
      <c r="U125" s="59" t="s">
        <v>120</v>
      </c>
      <c r="V125" s="59" t="s">
        <v>120</v>
      </c>
      <c r="W125" s="59" t="s">
        <v>120</v>
      </c>
      <c r="X125" s="59" t="s">
        <v>121</v>
      </c>
      <c r="Y125" s="59" t="s">
        <v>120</v>
      </c>
      <c r="Z125" s="59" t="s">
        <v>120</v>
      </c>
      <c r="AA125" s="59" t="s">
        <v>120</v>
      </c>
      <c r="AB125" s="59" t="s">
        <v>121</v>
      </c>
      <c r="AC125" s="59" t="s">
        <v>121</v>
      </c>
      <c r="AD125" s="59" t="s">
        <v>120</v>
      </c>
      <c r="AE125" s="59" t="s">
        <v>120</v>
      </c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62"/>
      <c r="BE125" s="62"/>
      <c r="BF125" s="62"/>
      <c r="BG125" s="56">
        <f t="shared" si="5"/>
        <v>27</v>
      </c>
      <c r="BH125" s="42">
        <f t="shared" si="6"/>
        <v>19</v>
      </c>
      <c r="BI125" s="43">
        <f t="shared" si="7"/>
        <v>0.7037037037</v>
      </c>
      <c r="BJ125" s="44">
        <f t="shared" si="8"/>
        <v>8</v>
      </c>
      <c r="BK125" s="42">
        <f t="shared" si="9"/>
        <v>0</v>
      </c>
      <c r="BL125" s="28"/>
      <c r="BM125" s="28"/>
      <c r="BN125" s="28"/>
      <c r="BO125" s="28"/>
    </row>
    <row r="126">
      <c r="A126" s="14">
        <f t="shared" si="2"/>
        <v>123</v>
      </c>
      <c r="B126" s="77">
        <f t="shared" si="3"/>
        <v>45931</v>
      </c>
      <c r="C126" s="48">
        <v>45931.0</v>
      </c>
      <c r="D126" s="57">
        <f t="shared" si="4"/>
        <v>45931</v>
      </c>
      <c r="E126" s="59" t="s">
        <v>121</v>
      </c>
      <c r="F126" s="59" t="s">
        <v>120</v>
      </c>
      <c r="G126" s="59" t="s">
        <v>120</v>
      </c>
      <c r="H126" s="59" t="s">
        <v>120</v>
      </c>
      <c r="I126" s="59" t="s">
        <v>120</v>
      </c>
      <c r="J126" s="59" t="s">
        <v>120</v>
      </c>
      <c r="K126" s="59" t="s">
        <v>120</v>
      </c>
      <c r="L126" s="59" t="s">
        <v>120</v>
      </c>
      <c r="M126" s="59" t="s">
        <v>121</v>
      </c>
      <c r="N126" s="59" t="s">
        <v>120</v>
      </c>
      <c r="O126" s="59" t="s">
        <v>120</v>
      </c>
      <c r="P126" s="59" t="s">
        <v>120</v>
      </c>
      <c r="Q126" s="59" t="s">
        <v>120</v>
      </c>
      <c r="R126" s="59" t="s">
        <v>120</v>
      </c>
      <c r="S126" s="59" t="s">
        <v>120</v>
      </c>
      <c r="T126" s="59" t="s">
        <v>120</v>
      </c>
      <c r="U126" s="59" t="s">
        <v>120</v>
      </c>
      <c r="V126" s="59" t="s">
        <v>120</v>
      </c>
      <c r="W126" s="59" t="s">
        <v>120</v>
      </c>
      <c r="X126" s="59" t="s">
        <v>121</v>
      </c>
      <c r="Y126" s="59" t="s">
        <v>120</v>
      </c>
      <c r="Z126" s="59" t="s">
        <v>120</v>
      </c>
      <c r="AA126" s="59" t="s">
        <v>120</v>
      </c>
      <c r="AB126" s="59" t="s">
        <v>121</v>
      </c>
      <c r="AC126" s="59" t="s">
        <v>120</v>
      </c>
      <c r="AD126" s="59" t="s">
        <v>120</v>
      </c>
      <c r="AE126" s="59" t="s">
        <v>120</v>
      </c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62"/>
      <c r="BE126" s="62"/>
      <c r="BF126" s="62"/>
      <c r="BG126" s="56">
        <f t="shared" si="5"/>
        <v>27</v>
      </c>
      <c r="BH126" s="42">
        <f t="shared" si="6"/>
        <v>23</v>
      </c>
      <c r="BI126" s="43">
        <f t="shared" si="7"/>
        <v>0.8518518519</v>
      </c>
      <c r="BJ126" s="44">
        <f t="shared" si="8"/>
        <v>4</v>
      </c>
      <c r="BK126" s="42">
        <f t="shared" si="9"/>
        <v>0</v>
      </c>
      <c r="BL126" s="28"/>
      <c r="BM126" s="28"/>
      <c r="BN126" s="28"/>
      <c r="BO126" s="28"/>
    </row>
    <row r="127">
      <c r="A127" s="14">
        <f t="shared" si="2"/>
        <v>124</v>
      </c>
      <c r="B127" s="77">
        <f t="shared" si="3"/>
        <v>45931</v>
      </c>
      <c r="C127" s="48">
        <v>45932.0</v>
      </c>
      <c r="D127" s="57">
        <f t="shared" si="4"/>
        <v>45932</v>
      </c>
      <c r="E127" s="59" t="s">
        <v>122</v>
      </c>
      <c r="F127" s="59" t="s">
        <v>122</v>
      </c>
      <c r="G127" s="59" t="s">
        <v>122</v>
      </c>
      <c r="H127" s="59" t="s">
        <v>122</v>
      </c>
      <c r="I127" s="59" t="s">
        <v>122</v>
      </c>
      <c r="J127" s="59" t="s">
        <v>122</v>
      </c>
      <c r="K127" s="59" t="s">
        <v>122</v>
      </c>
      <c r="L127" s="59" t="s">
        <v>122</v>
      </c>
      <c r="M127" s="59" t="s">
        <v>122</v>
      </c>
      <c r="N127" s="59" t="s">
        <v>122</v>
      </c>
      <c r="O127" s="59" t="s">
        <v>122</v>
      </c>
      <c r="P127" s="59" t="s">
        <v>122</v>
      </c>
      <c r="Q127" s="59" t="s">
        <v>122</v>
      </c>
      <c r="R127" s="59" t="s">
        <v>122</v>
      </c>
      <c r="S127" s="59" t="s">
        <v>122</v>
      </c>
      <c r="T127" s="59" t="s">
        <v>122</v>
      </c>
      <c r="U127" s="59" t="s">
        <v>122</v>
      </c>
      <c r="V127" s="59" t="s">
        <v>122</v>
      </c>
      <c r="W127" s="59" t="s">
        <v>122</v>
      </c>
      <c r="X127" s="59" t="s">
        <v>122</v>
      </c>
      <c r="Y127" s="59" t="s">
        <v>122</v>
      </c>
      <c r="Z127" s="59" t="s">
        <v>122</v>
      </c>
      <c r="AA127" s="59" t="s">
        <v>122</v>
      </c>
      <c r="AB127" s="59" t="s">
        <v>122</v>
      </c>
      <c r="AC127" s="59" t="s">
        <v>122</v>
      </c>
      <c r="AD127" s="59" t="s">
        <v>122</v>
      </c>
      <c r="AE127" s="59" t="s">
        <v>122</v>
      </c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62"/>
      <c r="BE127" s="62"/>
      <c r="BF127" s="62"/>
      <c r="BG127" s="56">
        <f t="shared" si="5"/>
        <v>0</v>
      </c>
      <c r="BH127" s="42">
        <f t="shared" si="6"/>
        <v>0</v>
      </c>
      <c r="BI127" s="43" t="str">
        <f t="shared" si="7"/>
        <v>#DIV/0!</v>
      </c>
      <c r="BJ127" s="44">
        <f t="shared" si="8"/>
        <v>0</v>
      </c>
      <c r="BK127" s="42">
        <f t="shared" si="9"/>
        <v>0</v>
      </c>
      <c r="BL127" s="28"/>
      <c r="BM127" s="28"/>
      <c r="BN127" s="28"/>
      <c r="BO127" s="28"/>
    </row>
    <row r="128">
      <c r="A128" s="14">
        <f t="shared" si="2"/>
        <v>125</v>
      </c>
      <c r="B128" s="77">
        <f t="shared" si="3"/>
        <v>45931</v>
      </c>
      <c r="C128" s="48">
        <v>45933.0</v>
      </c>
      <c r="D128" s="57">
        <f t="shared" si="4"/>
        <v>45933</v>
      </c>
      <c r="E128" s="59" t="s">
        <v>121</v>
      </c>
      <c r="F128" s="59" t="s">
        <v>120</v>
      </c>
      <c r="G128" s="59" t="s">
        <v>120</v>
      </c>
      <c r="H128" s="59" t="s">
        <v>120</v>
      </c>
      <c r="I128" s="59" t="s">
        <v>120</v>
      </c>
      <c r="J128" s="59" t="s">
        <v>120</v>
      </c>
      <c r="K128" s="59" t="s">
        <v>120</v>
      </c>
      <c r="L128" s="59" t="s">
        <v>121</v>
      </c>
      <c r="M128" s="59" t="s">
        <v>120</v>
      </c>
      <c r="N128" s="59" t="s">
        <v>120</v>
      </c>
      <c r="O128" s="59" t="s">
        <v>120</v>
      </c>
      <c r="P128" s="59" t="s">
        <v>120</v>
      </c>
      <c r="Q128" s="59" t="s">
        <v>120</v>
      </c>
      <c r="R128" s="59" t="s">
        <v>120</v>
      </c>
      <c r="S128" s="59" t="s">
        <v>121</v>
      </c>
      <c r="T128" s="59" t="s">
        <v>120</v>
      </c>
      <c r="U128" s="59" t="s">
        <v>120</v>
      </c>
      <c r="V128" s="59" t="s">
        <v>120</v>
      </c>
      <c r="W128" s="59" t="s">
        <v>120</v>
      </c>
      <c r="X128" s="59" t="s">
        <v>120</v>
      </c>
      <c r="Y128" s="59" t="s">
        <v>120</v>
      </c>
      <c r="Z128" s="59" t="s">
        <v>121</v>
      </c>
      <c r="AA128" s="59" t="s">
        <v>120</v>
      </c>
      <c r="AB128" s="59" t="s">
        <v>121</v>
      </c>
      <c r="AC128" s="59" t="s">
        <v>121</v>
      </c>
      <c r="AD128" s="59" t="s">
        <v>120</v>
      </c>
      <c r="AE128" s="59" t="s">
        <v>120</v>
      </c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62"/>
      <c r="BE128" s="62"/>
      <c r="BF128" s="62"/>
      <c r="BG128" s="56">
        <f t="shared" si="5"/>
        <v>27</v>
      </c>
      <c r="BH128" s="42">
        <f t="shared" si="6"/>
        <v>21</v>
      </c>
      <c r="BI128" s="43">
        <f t="shared" si="7"/>
        <v>0.7777777778</v>
      </c>
      <c r="BJ128" s="44">
        <f t="shared" si="8"/>
        <v>6</v>
      </c>
      <c r="BK128" s="42">
        <f t="shared" si="9"/>
        <v>0</v>
      </c>
      <c r="BL128" s="28"/>
      <c r="BM128" s="28"/>
      <c r="BN128" s="28"/>
      <c r="BO128" s="28"/>
    </row>
    <row r="129">
      <c r="A129" s="14">
        <f t="shared" si="2"/>
        <v>126</v>
      </c>
      <c r="B129" s="77">
        <f t="shared" si="3"/>
        <v>45931</v>
      </c>
      <c r="C129" s="48">
        <v>45934.0</v>
      </c>
      <c r="D129" s="57">
        <f t="shared" si="4"/>
        <v>45934</v>
      </c>
      <c r="E129" s="59" t="s">
        <v>121</v>
      </c>
      <c r="F129" s="59" t="s">
        <v>120</v>
      </c>
      <c r="G129" s="59" t="s">
        <v>120</v>
      </c>
      <c r="H129" s="59" t="s">
        <v>120</v>
      </c>
      <c r="I129" s="59" t="s">
        <v>120</v>
      </c>
      <c r="J129" s="59" t="s">
        <v>120</v>
      </c>
      <c r="K129" s="59" t="s">
        <v>120</v>
      </c>
      <c r="L129" s="59" t="s">
        <v>120</v>
      </c>
      <c r="M129" s="59" t="s">
        <v>120</v>
      </c>
      <c r="N129" s="59" t="s">
        <v>120</v>
      </c>
      <c r="O129" s="59" t="s">
        <v>120</v>
      </c>
      <c r="P129" s="59" t="s">
        <v>120</v>
      </c>
      <c r="Q129" s="59" t="s">
        <v>120</v>
      </c>
      <c r="R129" s="59" t="s">
        <v>120</v>
      </c>
      <c r="S129" s="59" t="s">
        <v>121</v>
      </c>
      <c r="T129" s="59" t="s">
        <v>120</v>
      </c>
      <c r="U129" s="59" t="s">
        <v>121</v>
      </c>
      <c r="V129" s="59" t="s">
        <v>120</v>
      </c>
      <c r="W129" s="59" t="s">
        <v>120</v>
      </c>
      <c r="X129" s="59" t="s">
        <v>120</v>
      </c>
      <c r="Y129" s="59" t="s">
        <v>120</v>
      </c>
      <c r="Z129" s="59" t="s">
        <v>121</v>
      </c>
      <c r="AA129" s="59" t="s">
        <v>120</v>
      </c>
      <c r="AB129" s="59" t="s">
        <v>121</v>
      </c>
      <c r="AC129" s="59" t="s">
        <v>120</v>
      </c>
      <c r="AD129" s="59" t="s">
        <v>120</v>
      </c>
      <c r="AE129" s="59" t="s">
        <v>120</v>
      </c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62"/>
      <c r="BE129" s="62"/>
      <c r="BF129" s="62"/>
      <c r="BG129" s="56">
        <f t="shared" si="5"/>
        <v>27</v>
      </c>
      <c r="BH129" s="42">
        <f t="shared" si="6"/>
        <v>22</v>
      </c>
      <c r="BI129" s="43">
        <f t="shared" si="7"/>
        <v>0.8148148148</v>
      </c>
      <c r="BJ129" s="44">
        <f t="shared" si="8"/>
        <v>5</v>
      </c>
      <c r="BK129" s="42">
        <f t="shared" si="9"/>
        <v>0</v>
      </c>
      <c r="BL129" s="28"/>
      <c r="BM129" s="28"/>
      <c r="BN129" s="28"/>
      <c r="BO129" s="28"/>
    </row>
    <row r="130">
      <c r="A130" s="14">
        <f t="shared" si="2"/>
        <v>127</v>
      </c>
      <c r="B130" s="77">
        <f t="shared" si="3"/>
        <v>45931</v>
      </c>
      <c r="C130" s="48">
        <v>45935.0</v>
      </c>
      <c r="D130" s="49">
        <f t="shared" si="4"/>
        <v>45935</v>
      </c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64"/>
      <c r="BE130" s="64"/>
      <c r="BF130" s="64"/>
      <c r="BG130" s="56">
        <f t="shared" si="5"/>
        <v>0</v>
      </c>
      <c r="BH130" s="42">
        <f t="shared" si="6"/>
        <v>0</v>
      </c>
      <c r="BI130" s="43" t="str">
        <f t="shared" si="7"/>
        <v>#DIV/0!</v>
      </c>
      <c r="BJ130" s="44">
        <f t="shared" si="8"/>
        <v>0</v>
      </c>
      <c r="BK130" s="42">
        <f t="shared" si="9"/>
        <v>0</v>
      </c>
      <c r="BL130" s="28"/>
      <c r="BM130" s="28"/>
      <c r="BN130" s="28"/>
      <c r="BO130" s="28"/>
    </row>
    <row r="131">
      <c r="A131" s="14">
        <f t="shared" si="2"/>
        <v>128</v>
      </c>
      <c r="B131" s="77">
        <f t="shared" si="3"/>
        <v>45931</v>
      </c>
      <c r="C131" s="48">
        <v>45936.0</v>
      </c>
      <c r="D131" s="57">
        <f t="shared" si="4"/>
        <v>45936</v>
      </c>
      <c r="E131" s="59" t="s">
        <v>121</v>
      </c>
      <c r="F131" s="59" t="s">
        <v>121</v>
      </c>
      <c r="G131" s="59" t="s">
        <v>120</v>
      </c>
      <c r="H131" s="59" t="s">
        <v>120</v>
      </c>
      <c r="I131" s="59" t="s">
        <v>120</v>
      </c>
      <c r="J131" s="59" t="s">
        <v>120</v>
      </c>
      <c r="K131" s="59" t="s">
        <v>120</v>
      </c>
      <c r="L131" s="59" t="s">
        <v>120</v>
      </c>
      <c r="M131" s="59" t="s">
        <v>120</v>
      </c>
      <c r="N131" s="59" t="s">
        <v>120</v>
      </c>
      <c r="O131" s="59" t="s">
        <v>120</v>
      </c>
      <c r="P131" s="59" t="s">
        <v>120</v>
      </c>
      <c r="Q131" s="59" t="s">
        <v>120</v>
      </c>
      <c r="R131" s="59" t="s">
        <v>120</v>
      </c>
      <c r="S131" s="59" t="s">
        <v>120</v>
      </c>
      <c r="T131" s="59" t="s">
        <v>120</v>
      </c>
      <c r="U131" s="59" t="s">
        <v>120</v>
      </c>
      <c r="V131" s="59" t="s">
        <v>120</v>
      </c>
      <c r="W131" s="59" t="s">
        <v>121</v>
      </c>
      <c r="X131" s="59" t="s">
        <v>120</v>
      </c>
      <c r="Y131" s="59" t="s">
        <v>120</v>
      </c>
      <c r="Z131" s="59" t="s">
        <v>121</v>
      </c>
      <c r="AA131" s="59" t="s">
        <v>120</v>
      </c>
      <c r="AB131" s="59" t="s">
        <v>121</v>
      </c>
      <c r="AC131" s="59" t="s">
        <v>120</v>
      </c>
      <c r="AD131" s="59" t="s">
        <v>120</v>
      </c>
      <c r="AE131" s="59" t="s">
        <v>120</v>
      </c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62"/>
      <c r="BE131" s="62"/>
      <c r="BF131" s="62"/>
      <c r="BG131" s="56">
        <f t="shared" si="5"/>
        <v>27</v>
      </c>
      <c r="BH131" s="42">
        <f t="shared" si="6"/>
        <v>22</v>
      </c>
      <c r="BI131" s="43">
        <f t="shared" si="7"/>
        <v>0.8148148148</v>
      </c>
      <c r="BJ131" s="44">
        <f t="shared" si="8"/>
        <v>5</v>
      </c>
      <c r="BK131" s="42">
        <f t="shared" si="9"/>
        <v>0</v>
      </c>
      <c r="BL131" s="28"/>
      <c r="BM131" s="28"/>
      <c r="BN131" s="28"/>
      <c r="BO131" s="28"/>
    </row>
    <row r="132">
      <c r="A132" s="14">
        <f t="shared" si="2"/>
        <v>129</v>
      </c>
      <c r="B132" s="77">
        <f t="shared" si="3"/>
        <v>45931</v>
      </c>
      <c r="C132" s="48">
        <v>45937.0</v>
      </c>
      <c r="D132" s="57">
        <f t="shared" si="4"/>
        <v>45937</v>
      </c>
      <c r="E132" s="59" t="s">
        <v>121</v>
      </c>
      <c r="F132" s="59" t="s">
        <v>120</v>
      </c>
      <c r="G132" s="59" t="s">
        <v>120</v>
      </c>
      <c r="H132" s="59" t="s">
        <v>121</v>
      </c>
      <c r="I132" s="59" t="s">
        <v>120</v>
      </c>
      <c r="J132" s="59" t="s">
        <v>121</v>
      </c>
      <c r="K132" s="59" t="s">
        <v>120</v>
      </c>
      <c r="L132" s="59" t="s">
        <v>120</v>
      </c>
      <c r="M132" s="59" t="s">
        <v>120</v>
      </c>
      <c r="N132" s="59" t="s">
        <v>120</v>
      </c>
      <c r="O132" s="59" t="s">
        <v>120</v>
      </c>
      <c r="P132" s="59" t="s">
        <v>120</v>
      </c>
      <c r="Q132" s="59" t="s">
        <v>120</v>
      </c>
      <c r="R132" s="59" t="s">
        <v>121</v>
      </c>
      <c r="S132" s="59" t="s">
        <v>120</v>
      </c>
      <c r="T132" s="59" t="s">
        <v>120</v>
      </c>
      <c r="U132" s="59" t="s">
        <v>120</v>
      </c>
      <c r="V132" s="59" t="s">
        <v>120</v>
      </c>
      <c r="W132" s="59" t="s">
        <v>120</v>
      </c>
      <c r="X132" s="59" t="s">
        <v>120</v>
      </c>
      <c r="Y132" s="59" t="s">
        <v>120</v>
      </c>
      <c r="Z132" s="59" t="s">
        <v>120</v>
      </c>
      <c r="AA132" s="59" t="s">
        <v>120</v>
      </c>
      <c r="AB132" s="59" t="s">
        <v>121</v>
      </c>
      <c r="AC132" s="59" t="s">
        <v>121</v>
      </c>
      <c r="AD132" s="59" t="s">
        <v>120</v>
      </c>
      <c r="AE132" s="59" t="s">
        <v>120</v>
      </c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62"/>
      <c r="BE132" s="62"/>
      <c r="BF132" s="62"/>
      <c r="BG132" s="56">
        <f t="shared" si="5"/>
        <v>27</v>
      </c>
      <c r="BH132" s="42">
        <f t="shared" si="6"/>
        <v>21</v>
      </c>
      <c r="BI132" s="43">
        <f t="shared" si="7"/>
        <v>0.7777777778</v>
      </c>
      <c r="BJ132" s="44">
        <f t="shared" si="8"/>
        <v>6</v>
      </c>
      <c r="BK132" s="42">
        <f t="shared" si="9"/>
        <v>0</v>
      </c>
      <c r="BL132" s="28"/>
      <c r="BM132" s="28"/>
      <c r="BN132" s="28"/>
      <c r="BO132" s="28"/>
    </row>
    <row r="133">
      <c r="A133" s="14">
        <f t="shared" si="2"/>
        <v>130</v>
      </c>
      <c r="B133" s="77">
        <f t="shared" si="3"/>
        <v>45931</v>
      </c>
      <c r="C133" s="48">
        <v>45938.0</v>
      </c>
      <c r="D133" s="57">
        <f t="shared" si="4"/>
        <v>45938</v>
      </c>
      <c r="E133" s="59" t="s">
        <v>121</v>
      </c>
      <c r="F133" s="59" t="s">
        <v>120</v>
      </c>
      <c r="G133" s="59" t="s">
        <v>120</v>
      </c>
      <c r="H133" s="59" t="s">
        <v>121</v>
      </c>
      <c r="I133" s="59" t="s">
        <v>120</v>
      </c>
      <c r="J133" s="59" t="s">
        <v>121</v>
      </c>
      <c r="K133" s="59" t="s">
        <v>120</v>
      </c>
      <c r="L133" s="59" t="s">
        <v>120</v>
      </c>
      <c r="M133" s="59" t="s">
        <v>120</v>
      </c>
      <c r="N133" s="59" t="s">
        <v>120</v>
      </c>
      <c r="O133" s="59" t="s">
        <v>120</v>
      </c>
      <c r="P133" s="59" t="s">
        <v>120</v>
      </c>
      <c r="Q133" s="59" t="s">
        <v>120</v>
      </c>
      <c r="R133" s="59" t="s">
        <v>120</v>
      </c>
      <c r="S133" s="59" t="s">
        <v>120</v>
      </c>
      <c r="T133" s="59" t="s">
        <v>120</v>
      </c>
      <c r="U133" s="59" t="s">
        <v>120</v>
      </c>
      <c r="V133" s="59" t="s">
        <v>120</v>
      </c>
      <c r="W133" s="59" t="s">
        <v>120</v>
      </c>
      <c r="X133" s="59" t="s">
        <v>120</v>
      </c>
      <c r="Y133" s="59" t="s">
        <v>120</v>
      </c>
      <c r="Z133" s="59" t="s">
        <v>120</v>
      </c>
      <c r="AA133" s="59" t="s">
        <v>120</v>
      </c>
      <c r="AB133" s="59" t="s">
        <v>121</v>
      </c>
      <c r="AC133" s="59" t="s">
        <v>121</v>
      </c>
      <c r="AD133" s="59" t="s">
        <v>120</v>
      </c>
      <c r="AE133" s="59" t="s">
        <v>121</v>
      </c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62"/>
      <c r="BE133" s="62"/>
      <c r="BF133" s="62"/>
      <c r="BG133" s="56">
        <f t="shared" si="5"/>
        <v>27</v>
      </c>
      <c r="BH133" s="42">
        <f t="shared" si="6"/>
        <v>21</v>
      </c>
      <c r="BI133" s="43">
        <f t="shared" si="7"/>
        <v>0.7777777778</v>
      </c>
      <c r="BJ133" s="44">
        <f t="shared" si="8"/>
        <v>6</v>
      </c>
      <c r="BK133" s="42">
        <f t="shared" si="9"/>
        <v>0</v>
      </c>
      <c r="BL133" s="28"/>
      <c r="BM133" s="28"/>
      <c r="BN133" s="28"/>
      <c r="BO133" s="28"/>
    </row>
    <row r="134">
      <c r="A134" s="14">
        <f t="shared" si="2"/>
        <v>131</v>
      </c>
      <c r="B134" s="77">
        <f t="shared" si="3"/>
        <v>45931</v>
      </c>
      <c r="C134" s="48">
        <v>45939.0</v>
      </c>
      <c r="D134" s="57">
        <f t="shared" si="4"/>
        <v>45939</v>
      </c>
      <c r="E134" s="59" t="s">
        <v>120</v>
      </c>
      <c r="F134" s="59" t="s">
        <v>120</v>
      </c>
      <c r="G134" s="59" t="s">
        <v>120</v>
      </c>
      <c r="H134" s="59" t="s">
        <v>120</v>
      </c>
      <c r="I134" s="59" t="s">
        <v>120</v>
      </c>
      <c r="J134" s="59" t="s">
        <v>120</v>
      </c>
      <c r="K134" s="59" t="s">
        <v>120</v>
      </c>
      <c r="L134" s="59" t="s">
        <v>120</v>
      </c>
      <c r="M134" s="59" t="s">
        <v>121</v>
      </c>
      <c r="N134" s="59" t="s">
        <v>120</v>
      </c>
      <c r="O134" s="59" t="s">
        <v>120</v>
      </c>
      <c r="P134" s="59" t="s">
        <v>120</v>
      </c>
      <c r="Q134" s="59" t="s">
        <v>120</v>
      </c>
      <c r="R134" s="59" t="s">
        <v>121</v>
      </c>
      <c r="S134" s="59" t="s">
        <v>120</v>
      </c>
      <c r="T134" s="59" t="s">
        <v>120</v>
      </c>
      <c r="U134" s="59" t="s">
        <v>120</v>
      </c>
      <c r="V134" s="59" t="s">
        <v>120</v>
      </c>
      <c r="W134" s="59" t="s">
        <v>120</v>
      </c>
      <c r="X134" s="59" t="s">
        <v>120</v>
      </c>
      <c r="Y134" s="59" t="s">
        <v>120</v>
      </c>
      <c r="Z134" s="59" t="s">
        <v>121</v>
      </c>
      <c r="AA134" s="59" t="s">
        <v>120</v>
      </c>
      <c r="AB134" s="59" t="s">
        <v>121</v>
      </c>
      <c r="AC134" s="59" t="s">
        <v>120</v>
      </c>
      <c r="AD134" s="59" t="s">
        <v>120</v>
      </c>
      <c r="AE134" s="59" t="s">
        <v>120</v>
      </c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8"/>
      <c r="AQ134" s="58"/>
      <c r="AR134" s="58"/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  <c r="BC134" s="58"/>
      <c r="BD134" s="62"/>
      <c r="BE134" s="62"/>
      <c r="BF134" s="62"/>
      <c r="BG134" s="56">
        <f t="shared" si="5"/>
        <v>27</v>
      </c>
      <c r="BH134" s="42">
        <f t="shared" si="6"/>
        <v>23</v>
      </c>
      <c r="BI134" s="43">
        <f t="shared" si="7"/>
        <v>0.8518518519</v>
      </c>
      <c r="BJ134" s="44">
        <f t="shared" si="8"/>
        <v>4</v>
      </c>
      <c r="BK134" s="42">
        <f t="shared" si="9"/>
        <v>0</v>
      </c>
      <c r="BL134" s="28"/>
      <c r="BM134" s="28"/>
      <c r="BN134" s="28"/>
      <c r="BO134" s="28"/>
    </row>
    <row r="135">
      <c r="A135" s="14">
        <f t="shared" si="2"/>
        <v>132</v>
      </c>
      <c r="B135" s="77">
        <f t="shared" si="3"/>
        <v>45931</v>
      </c>
      <c r="C135" s="48">
        <v>45940.0</v>
      </c>
      <c r="D135" s="57">
        <f t="shared" si="4"/>
        <v>45940</v>
      </c>
      <c r="E135" s="59" t="s">
        <v>121</v>
      </c>
      <c r="F135" s="59" t="s">
        <v>120</v>
      </c>
      <c r="G135" s="59" t="s">
        <v>120</v>
      </c>
      <c r="H135" s="59" t="s">
        <v>120</v>
      </c>
      <c r="I135" s="59" t="s">
        <v>120</v>
      </c>
      <c r="J135" s="59" t="s">
        <v>120</v>
      </c>
      <c r="K135" s="59" t="s">
        <v>120</v>
      </c>
      <c r="L135" s="59" t="s">
        <v>120</v>
      </c>
      <c r="M135" s="59" t="s">
        <v>120</v>
      </c>
      <c r="N135" s="59" t="s">
        <v>120</v>
      </c>
      <c r="O135" s="59" t="s">
        <v>120</v>
      </c>
      <c r="P135" s="59" t="s">
        <v>120</v>
      </c>
      <c r="Q135" s="59" t="s">
        <v>120</v>
      </c>
      <c r="R135" s="59" t="s">
        <v>120</v>
      </c>
      <c r="S135" s="59" t="s">
        <v>121</v>
      </c>
      <c r="T135" s="59" t="s">
        <v>120</v>
      </c>
      <c r="U135" s="59" t="s">
        <v>121</v>
      </c>
      <c r="V135" s="59" t="s">
        <v>120</v>
      </c>
      <c r="W135" s="59" t="s">
        <v>120</v>
      </c>
      <c r="X135" s="59" t="s">
        <v>120</v>
      </c>
      <c r="Y135" s="59" t="s">
        <v>120</v>
      </c>
      <c r="Z135" s="59" t="s">
        <v>121</v>
      </c>
      <c r="AA135" s="59" t="s">
        <v>120</v>
      </c>
      <c r="AB135" s="59" t="s">
        <v>121</v>
      </c>
      <c r="AC135" s="59" t="s">
        <v>120</v>
      </c>
      <c r="AD135" s="59" t="s">
        <v>120</v>
      </c>
      <c r="AE135" s="59" t="s">
        <v>120</v>
      </c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8"/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8"/>
      <c r="BB135" s="58"/>
      <c r="BC135" s="58"/>
      <c r="BD135" s="62"/>
      <c r="BE135" s="62"/>
      <c r="BF135" s="62"/>
      <c r="BG135" s="56">
        <f t="shared" si="5"/>
        <v>27</v>
      </c>
      <c r="BH135" s="42">
        <f t="shared" si="6"/>
        <v>22</v>
      </c>
      <c r="BI135" s="43">
        <f t="shared" si="7"/>
        <v>0.8148148148</v>
      </c>
      <c r="BJ135" s="44">
        <f t="shared" si="8"/>
        <v>5</v>
      </c>
      <c r="BK135" s="42">
        <f t="shared" si="9"/>
        <v>0</v>
      </c>
      <c r="BL135" s="28"/>
      <c r="BM135" s="28"/>
      <c r="BN135" s="28"/>
      <c r="BO135" s="28"/>
    </row>
    <row r="136">
      <c r="A136" s="14">
        <f t="shared" si="2"/>
        <v>133</v>
      </c>
      <c r="B136" s="77">
        <f t="shared" si="3"/>
        <v>45931</v>
      </c>
      <c r="C136" s="48">
        <v>45941.0</v>
      </c>
      <c r="D136" s="57">
        <f t="shared" si="4"/>
        <v>45941</v>
      </c>
      <c r="E136" s="59" t="s">
        <v>121</v>
      </c>
      <c r="F136" s="59" t="s">
        <v>120</v>
      </c>
      <c r="G136" s="59" t="s">
        <v>120</v>
      </c>
      <c r="H136" s="59" t="s">
        <v>120</v>
      </c>
      <c r="I136" s="59" t="s">
        <v>120</v>
      </c>
      <c r="J136" s="59" t="s">
        <v>120</v>
      </c>
      <c r="K136" s="59" t="s">
        <v>120</v>
      </c>
      <c r="L136" s="59" t="s">
        <v>120</v>
      </c>
      <c r="M136" s="59" t="s">
        <v>120</v>
      </c>
      <c r="N136" s="59" t="s">
        <v>120</v>
      </c>
      <c r="O136" s="59" t="s">
        <v>120</v>
      </c>
      <c r="P136" s="59" t="s">
        <v>120</v>
      </c>
      <c r="Q136" s="59" t="s">
        <v>120</v>
      </c>
      <c r="R136" s="59" t="s">
        <v>120</v>
      </c>
      <c r="S136" s="59" t="s">
        <v>120</v>
      </c>
      <c r="T136" s="59" t="s">
        <v>120</v>
      </c>
      <c r="U136" s="59" t="s">
        <v>120</v>
      </c>
      <c r="V136" s="59" t="s">
        <v>120</v>
      </c>
      <c r="W136" s="59" t="s">
        <v>120</v>
      </c>
      <c r="X136" s="59" t="s">
        <v>120</v>
      </c>
      <c r="Y136" s="59" t="s">
        <v>120</v>
      </c>
      <c r="Z136" s="59" t="s">
        <v>120</v>
      </c>
      <c r="AA136" s="59" t="s">
        <v>120</v>
      </c>
      <c r="AB136" s="59" t="s">
        <v>121</v>
      </c>
      <c r="AC136" s="59" t="s">
        <v>121</v>
      </c>
      <c r="AD136" s="59" t="s">
        <v>120</v>
      </c>
      <c r="AE136" s="59" t="s">
        <v>120</v>
      </c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8"/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8"/>
      <c r="BB136" s="58"/>
      <c r="BC136" s="58"/>
      <c r="BD136" s="62"/>
      <c r="BE136" s="62"/>
      <c r="BF136" s="62"/>
      <c r="BG136" s="56">
        <f t="shared" si="5"/>
        <v>27</v>
      </c>
      <c r="BH136" s="42">
        <f t="shared" si="6"/>
        <v>24</v>
      </c>
      <c r="BI136" s="43">
        <f t="shared" si="7"/>
        <v>0.8888888889</v>
      </c>
      <c r="BJ136" s="44">
        <f t="shared" si="8"/>
        <v>3</v>
      </c>
      <c r="BK136" s="42">
        <f t="shared" si="9"/>
        <v>0</v>
      </c>
      <c r="BL136" s="28"/>
      <c r="BM136" s="28"/>
      <c r="BN136" s="28"/>
      <c r="BO136" s="28"/>
    </row>
    <row r="137">
      <c r="A137" s="14">
        <f t="shared" si="2"/>
        <v>134</v>
      </c>
      <c r="B137" s="77">
        <f t="shared" si="3"/>
        <v>45931</v>
      </c>
      <c r="C137" s="48">
        <v>45942.0</v>
      </c>
      <c r="D137" s="49">
        <f t="shared" si="4"/>
        <v>45942</v>
      </c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64"/>
      <c r="BE137" s="64"/>
      <c r="BF137" s="64"/>
      <c r="BG137" s="56">
        <f t="shared" si="5"/>
        <v>0</v>
      </c>
      <c r="BH137" s="42">
        <f t="shared" si="6"/>
        <v>0</v>
      </c>
      <c r="BI137" s="43" t="str">
        <f t="shared" si="7"/>
        <v>#DIV/0!</v>
      </c>
      <c r="BJ137" s="44">
        <f t="shared" si="8"/>
        <v>0</v>
      </c>
      <c r="BK137" s="42">
        <f t="shared" si="9"/>
        <v>0</v>
      </c>
      <c r="BL137" s="28"/>
      <c r="BM137" s="28"/>
      <c r="BN137" s="28"/>
      <c r="BO137" s="28"/>
    </row>
    <row r="138">
      <c r="A138" s="14">
        <f t="shared" si="2"/>
        <v>135</v>
      </c>
      <c r="B138" s="77">
        <f t="shared" si="3"/>
        <v>45931</v>
      </c>
      <c r="C138" s="48">
        <v>45943.0</v>
      </c>
      <c r="D138" s="57">
        <f t="shared" si="4"/>
        <v>45943</v>
      </c>
      <c r="E138" s="59" t="s">
        <v>121</v>
      </c>
      <c r="F138" s="59" t="s">
        <v>120</v>
      </c>
      <c r="G138" s="59" t="s">
        <v>120</v>
      </c>
      <c r="H138" s="59" t="s">
        <v>120</v>
      </c>
      <c r="I138" s="59" t="s">
        <v>120</v>
      </c>
      <c r="J138" s="59" t="s">
        <v>120</v>
      </c>
      <c r="K138" s="59" t="s">
        <v>120</v>
      </c>
      <c r="L138" s="59" t="s">
        <v>120</v>
      </c>
      <c r="M138" s="59" t="s">
        <v>120</v>
      </c>
      <c r="N138" s="59" t="s">
        <v>120</v>
      </c>
      <c r="O138" s="59" t="s">
        <v>120</v>
      </c>
      <c r="P138" s="59" t="s">
        <v>120</v>
      </c>
      <c r="Q138" s="59" t="s">
        <v>120</v>
      </c>
      <c r="R138" s="59" t="s">
        <v>120</v>
      </c>
      <c r="S138" s="59" t="s">
        <v>121</v>
      </c>
      <c r="T138" s="59" t="s">
        <v>120</v>
      </c>
      <c r="U138" s="59" t="s">
        <v>121</v>
      </c>
      <c r="V138" s="59" t="s">
        <v>120</v>
      </c>
      <c r="W138" s="59" t="s">
        <v>120</v>
      </c>
      <c r="X138" s="59" t="s">
        <v>121</v>
      </c>
      <c r="Y138" s="59" t="s">
        <v>120</v>
      </c>
      <c r="Z138" s="59" t="s">
        <v>121</v>
      </c>
      <c r="AA138" s="59" t="s">
        <v>120</v>
      </c>
      <c r="AB138" s="59" t="s">
        <v>121</v>
      </c>
      <c r="AC138" s="59" t="s">
        <v>120</v>
      </c>
      <c r="AD138" s="59" t="s">
        <v>120</v>
      </c>
      <c r="AE138" s="59" t="s">
        <v>120</v>
      </c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62"/>
      <c r="BE138" s="62"/>
      <c r="BF138" s="62"/>
      <c r="BG138" s="56">
        <f t="shared" si="5"/>
        <v>27</v>
      </c>
      <c r="BH138" s="42">
        <f t="shared" si="6"/>
        <v>21</v>
      </c>
      <c r="BI138" s="43">
        <f t="shared" si="7"/>
        <v>0.7777777778</v>
      </c>
      <c r="BJ138" s="44">
        <f t="shared" si="8"/>
        <v>6</v>
      </c>
      <c r="BK138" s="42">
        <f t="shared" si="9"/>
        <v>0</v>
      </c>
      <c r="BL138" s="28"/>
      <c r="BM138" s="28"/>
      <c r="BN138" s="28"/>
      <c r="BO138" s="28"/>
    </row>
    <row r="139">
      <c r="A139" s="14">
        <f t="shared" si="2"/>
        <v>136</v>
      </c>
      <c r="B139" s="77">
        <f t="shared" si="3"/>
        <v>45931</v>
      </c>
      <c r="C139" s="48">
        <v>45944.0</v>
      </c>
      <c r="D139" s="57">
        <f t="shared" si="4"/>
        <v>45944</v>
      </c>
      <c r="E139" s="59" t="s">
        <v>121</v>
      </c>
      <c r="F139" s="59" t="s">
        <v>120</v>
      </c>
      <c r="G139" s="59" t="s">
        <v>120</v>
      </c>
      <c r="H139" s="59" t="s">
        <v>120</v>
      </c>
      <c r="I139" s="59" t="s">
        <v>120</v>
      </c>
      <c r="J139" s="59" t="s">
        <v>120</v>
      </c>
      <c r="K139" s="59" t="s">
        <v>120</v>
      </c>
      <c r="L139" s="59" t="s">
        <v>120</v>
      </c>
      <c r="M139" s="59" t="s">
        <v>120</v>
      </c>
      <c r="N139" s="59" t="s">
        <v>120</v>
      </c>
      <c r="O139" s="59" t="s">
        <v>120</v>
      </c>
      <c r="P139" s="59" t="s">
        <v>120</v>
      </c>
      <c r="Q139" s="59" t="s">
        <v>120</v>
      </c>
      <c r="R139" s="59" t="s">
        <v>121</v>
      </c>
      <c r="S139" s="59" t="s">
        <v>121</v>
      </c>
      <c r="T139" s="59" t="s">
        <v>121</v>
      </c>
      <c r="U139" s="59" t="s">
        <v>120</v>
      </c>
      <c r="V139" s="59" t="s">
        <v>120</v>
      </c>
      <c r="W139" s="59" t="s">
        <v>120</v>
      </c>
      <c r="X139" s="59" t="s">
        <v>120</v>
      </c>
      <c r="Y139" s="59" t="s">
        <v>121</v>
      </c>
      <c r="Z139" s="59" t="s">
        <v>120</v>
      </c>
      <c r="AA139" s="59" t="s">
        <v>120</v>
      </c>
      <c r="AB139" s="59" t="s">
        <v>121</v>
      </c>
      <c r="AC139" s="59" t="s">
        <v>121</v>
      </c>
      <c r="AD139" s="59" t="s">
        <v>120</v>
      </c>
      <c r="AE139" s="59" t="s">
        <v>120</v>
      </c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62"/>
      <c r="BE139" s="62"/>
      <c r="BF139" s="62"/>
      <c r="BG139" s="56">
        <f t="shared" si="5"/>
        <v>27</v>
      </c>
      <c r="BH139" s="42">
        <f t="shared" si="6"/>
        <v>20</v>
      </c>
      <c r="BI139" s="43">
        <f t="shared" si="7"/>
        <v>0.7407407407</v>
      </c>
      <c r="BJ139" s="44">
        <f t="shared" si="8"/>
        <v>7</v>
      </c>
      <c r="BK139" s="42">
        <f t="shared" si="9"/>
        <v>0</v>
      </c>
      <c r="BL139" s="28"/>
      <c r="BM139" s="28"/>
      <c r="BN139" s="28"/>
      <c r="BO139" s="28"/>
    </row>
    <row r="140">
      <c r="A140" s="14">
        <f t="shared" si="2"/>
        <v>137</v>
      </c>
      <c r="B140" s="77">
        <f t="shared" si="3"/>
        <v>45931</v>
      </c>
      <c r="C140" s="48">
        <v>45945.0</v>
      </c>
      <c r="D140" s="57">
        <f t="shared" si="4"/>
        <v>45945</v>
      </c>
      <c r="E140" s="59" t="s">
        <v>120</v>
      </c>
      <c r="F140" s="59" t="s">
        <v>120</v>
      </c>
      <c r="G140" s="59" t="s">
        <v>120</v>
      </c>
      <c r="H140" s="59" t="s">
        <v>120</v>
      </c>
      <c r="I140" s="59" t="s">
        <v>120</v>
      </c>
      <c r="J140" s="59" t="s">
        <v>120</v>
      </c>
      <c r="K140" s="59" t="s">
        <v>120</v>
      </c>
      <c r="L140" s="59" t="s">
        <v>120</v>
      </c>
      <c r="M140" s="59" t="s">
        <v>120</v>
      </c>
      <c r="N140" s="59" t="s">
        <v>120</v>
      </c>
      <c r="O140" s="59" t="s">
        <v>120</v>
      </c>
      <c r="P140" s="59" t="s">
        <v>120</v>
      </c>
      <c r="Q140" s="59" t="s">
        <v>120</v>
      </c>
      <c r="R140" s="59" t="s">
        <v>121</v>
      </c>
      <c r="S140" s="59" t="s">
        <v>121</v>
      </c>
      <c r="T140" s="59" t="s">
        <v>120</v>
      </c>
      <c r="U140" s="59" t="s">
        <v>120</v>
      </c>
      <c r="V140" s="59" t="s">
        <v>120</v>
      </c>
      <c r="W140" s="59" t="s">
        <v>120</v>
      </c>
      <c r="X140" s="59" t="s">
        <v>121</v>
      </c>
      <c r="Y140" s="59" t="s">
        <v>120</v>
      </c>
      <c r="Z140" s="59" t="s">
        <v>120</v>
      </c>
      <c r="AA140" s="59" t="s">
        <v>120</v>
      </c>
      <c r="AB140" s="59" t="s">
        <v>121</v>
      </c>
      <c r="AC140" s="59" t="s">
        <v>120</v>
      </c>
      <c r="AD140" s="59" t="s">
        <v>120</v>
      </c>
      <c r="AE140" s="59" t="s">
        <v>120</v>
      </c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28"/>
      <c r="BE140" s="28"/>
      <c r="BF140" s="28"/>
      <c r="BG140" s="56">
        <f t="shared" si="5"/>
        <v>27</v>
      </c>
      <c r="BH140" s="42">
        <f t="shared" si="6"/>
        <v>23</v>
      </c>
      <c r="BI140" s="43">
        <f t="shared" si="7"/>
        <v>0.8518518519</v>
      </c>
      <c r="BJ140" s="44">
        <f t="shared" si="8"/>
        <v>4</v>
      </c>
      <c r="BK140" s="42">
        <f t="shared" si="9"/>
        <v>0</v>
      </c>
      <c r="BL140" s="28"/>
      <c r="BM140" s="28"/>
      <c r="BN140" s="28"/>
      <c r="BO140" s="28"/>
    </row>
    <row r="141">
      <c r="A141" s="14">
        <f t="shared" si="2"/>
        <v>138</v>
      </c>
      <c r="B141" s="77">
        <f t="shared" si="3"/>
        <v>45931</v>
      </c>
      <c r="C141" s="48">
        <v>45946.0</v>
      </c>
      <c r="D141" s="57">
        <f t="shared" si="4"/>
        <v>45946</v>
      </c>
      <c r="E141" s="59" t="s">
        <v>121</v>
      </c>
      <c r="F141" s="59" t="s">
        <v>120</v>
      </c>
      <c r="G141" s="59" t="s">
        <v>120</v>
      </c>
      <c r="H141" s="59" t="s">
        <v>120</v>
      </c>
      <c r="I141" s="59" t="s">
        <v>120</v>
      </c>
      <c r="J141" s="59" t="s">
        <v>120</v>
      </c>
      <c r="K141" s="59" t="s">
        <v>120</v>
      </c>
      <c r="L141" s="59" t="s">
        <v>120</v>
      </c>
      <c r="M141" s="59" t="s">
        <v>120</v>
      </c>
      <c r="N141" s="59" t="s">
        <v>120</v>
      </c>
      <c r="O141" s="59" t="s">
        <v>120</v>
      </c>
      <c r="P141" s="59" t="s">
        <v>120</v>
      </c>
      <c r="Q141" s="59" t="s">
        <v>120</v>
      </c>
      <c r="R141" s="59" t="s">
        <v>121</v>
      </c>
      <c r="S141" s="59" t="s">
        <v>121</v>
      </c>
      <c r="T141" s="59" t="s">
        <v>121</v>
      </c>
      <c r="U141" s="59" t="s">
        <v>121</v>
      </c>
      <c r="V141" s="59" t="s">
        <v>120</v>
      </c>
      <c r="W141" s="59" t="s">
        <v>120</v>
      </c>
      <c r="X141" s="59" t="s">
        <v>120</v>
      </c>
      <c r="Y141" s="59" t="s">
        <v>121</v>
      </c>
      <c r="Z141" s="59" t="s">
        <v>121</v>
      </c>
      <c r="AA141" s="59" t="s">
        <v>120</v>
      </c>
      <c r="AB141" s="59" t="s">
        <v>121</v>
      </c>
      <c r="AC141" s="59" t="s">
        <v>121</v>
      </c>
      <c r="AD141" s="59" t="s">
        <v>120</v>
      </c>
      <c r="AE141" s="59" t="s">
        <v>120</v>
      </c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28"/>
      <c r="BE141" s="28"/>
      <c r="BF141" s="28"/>
      <c r="BG141" s="56">
        <f t="shared" si="5"/>
        <v>27</v>
      </c>
      <c r="BH141" s="42">
        <f t="shared" si="6"/>
        <v>18</v>
      </c>
      <c r="BI141" s="43">
        <f t="shared" si="7"/>
        <v>0.6666666667</v>
      </c>
      <c r="BJ141" s="44">
        <f t="shared" si="8"/>
        <v>9</v>
      </c>
      <c r="BK141" s="42">
        <f t="shared" si="9"/>
        <v>0</v>
      </c>
      <c r="BL141" s="28"/>
      <c r="BM141" s="28"/>
      <c r="BN141" s="28"/>
      <c r="BO141" s="28"/>
    </row>
    <row r="142">
      <c r="A142" s="14">
        <f t="shared" si="2"/>
        <v>139</v>
      </c>
      <c r="B142" s="77">
        <f t="shared" si="3"/>
        <v>45931</v>
      </c>
      <c r="C142" s="48">
        <v>45947.0</v>
      </c>
      <c r="D142" s="57">
        <f t="shared" si="4"/>
        <v>45947</v>
      </c>
      <c r="E142" s="59" t="s">
        <v>121</v>
      </c>
      <c r="F142" s="59" t="s">
        <v>120</v>
      </c>
      <c r="G142" s="59" t="s">
        <v>120</v>
      </c>
      <c r="H142" s="59" t="s">
        <v>120</v>
      </c>
      <c r="I142" s="59" t="s">
        <v>120</v>
      </c>
      <c r="J142" s="59" t="s">
        <v>120</v>
      </c>
      <c r="K142" s="59" t="s">
        <v>120</v>
      </c>
      <c r="L142" s="59" t="s">
        <v>120</v>
      </c>
      <c r="M142" s="59" t="s">
        <v>120</v>
      </c>
      <c r="N142" s="59" t="s">
        <v>120</v>
      </c>
      <c r="O142" s="59" t="s">
        <v>120</v>
      </c>
      <c r="P142" s="59" t="s">
        <v>120</v>
      </c>
      <c r="Q142" s="59" t="s">
        <v>120</v>
      </c>
      <c r="R142" s="59" t="s">
        <v>120</v>
      </c>
      <c r="S142" s="59" t="s">
        <v>120</v>
      </c>
      <c r="T142" s="59" t="s">
        <v>120</v>
      </c>
      <c r="U142" s="59" t="s">
        <v>120</v>
      </c>
      <c r="V142" s="59" t="s">
        <v>120</v>
      </c>
      <c r="W142" s="59" t="s">
        <v>120</v>
      </c>
      <c r="X142" s="59" t="s">
        <v>121</v>
      </c>
      <c r="Y142" s="59" t="s">
        <v>120</v>
      </c>
      <c r="Z142" s="59" t="s">
        <v>120</v>
      </c>
      <c r="AA142" s="59" t="s">
        <v>120</v>
      </c>
      <c r="AB142" s="59" t="s">
        <v>121</v>
      </c>
      <c r="AC142" s="59" t="s">
        <v>121</v>
      </c>
      <c r="AD142" s="59" t="s">
        <v>120</v>
      </c>
      <c r="AE142" s="59" t="s">
        <v>120</v>
      </c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8"/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8"/>
      <c r="BB142" s="58"/>
      <c r="BC142" s="58"/>
      <c r="BD142" s="28"/>
      <c r="BE142" s="28"/>
      <c r="BF142" s="28"/>
      <c r="BG142" s="56">
        <f t="shared" si="5"/>
        <v>27</v>
      </c>
      <c r="BH142" s="42">
        <f t="shared" si="6"/>
        <v>23</v>
      </c>
      <c r="BI142" s="43">
        <f t="shared" si="7"/>
        <v>0.8518518519</v>
      </c>
      <c r="BJ142" s="44">
        <f t="shared" si="8"/>
        <v>4</v>
      </c>
      <c r="BK142" s="42">
        <f t="shared" si="9"/>
        <v>0</v>
      </c>
      <c r="BL142" s="28"/>
      <c r="BM142" s="28"/>
      <c r="BN142" s="28"/>
      <c r="BO142" s="28"/>
    </row>
    <row r="143">
      <c r="A143" s="14">
        <f t="shared" si="2"/>
        <v>140</v>
      </c>
      <c r="B143" s="77">
        <f t="shared" si="3"/>
        <v>45931</v>
      </c>
      <c r="C143" s="48">
        <v>45948.0</v>
      </c>
      <c r="D143" s="57">
        <f t="shared" si="4"/>
        <v>45948</v>
      </c>
      <c r="E143" s="58" t="s">
        <v>121</v>
      </c>
      <c r="F143" s="58" t="s">
        <v>120</v>
      </c>
      <c r="G143" s="58" t="s">
        <v>120</v>
      </c>
      <c r="H143" s="58" t="s">
        <v>120</v>
      </c>
      <c r="I143" s="58" t="s">
        <v>120</v>
      </c>
      <c r="J143" s="58" t="s">
        <v>120</v>
      </c>
      <c r="K143" s="58" t="s">
        <v>120</v>
      </c>
      <c r="L143" s="58" t="s">
        <v>120</v>
      </c>
      <c r="M143" s="58" t="s">
        <v>120</v>
      </c>
      <c r="N143" s="58" t="s">
        <v>120</v>
      </c>
      <c r="O143" s="58" t="s">
        <v>120</v>
      </c>
      <c r="P143" s="58" t="s">
        <v>120</v>
      </c>
      <c r="Q143" s="58" t="s">
        <v>120</v>
      </c>
      <c r="R143" s="58" t="s">
        <v>121</v>
      </c>
      <c r="S143" s="58" t="s">
        <v>121</v>
      </c>
      <c r="T143" s="58" t="s">
        <v>120</v>
      </c>
      <c r="U143" s="58" t="s">
        <v>121</v>
      </c>
      <c r="V143" s="58" t="s">
        <v>121</v>
      </c>
      <c r="W143" s="58" t="s">
        <v>120</v>
      </c>
      <c r="X143" s="58" t="s">
        <v>121</v>
      </c>
      <c r="Y143" s="58" t="s">
        <v>121</v>
      </c>
      <c r="Z143" s="58" t="s">
        <v>121</v>
      </c>
      <c r="AA143" s="58" t="s">
        <v>121</v>
      </c>
      <c r="AB143" s="58" t="s">
        <v>121</v>
      </c>
      <c r="AC143" s="58" t="s">
        <v>121</v>
      </c>
      <c r="AD143" s="58" t="s">
        <v>120</v>
      </c>
      <c r="AE143" s="58" t="s">
        <v>120</v>
      </c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  <c r="BD143" s="28"/>
      <c r="BE143" s="28"/>
      <c r="BF143" s="28"/>
      <c r="BG143" s="56">
        <f t="shared" si="5"/>
        <v>27</v>
      </c>
      <c r="BH143" s="42">
        <f t="shared" si="6"/>
        <v>16</v>
      </c>
      <c r="BI143" s="43">
        <f t="shared" si="7"/>
        <v>0.5925925926</v>
      </c>
      <c r="BJ143" s="44">
        <f t="shared" si="8"/>
        <v>11</v>
      </c>
      <c r="BK143" s="42">
        <f t="shared" si="9"/>
        <v>0</v>
      </c>
      <c r="BL143" s="28"/>
      <c r="BM143" s="28"/>
      <c r="BN143" s="28"/>
      <c r="BO143" s="28"/>
    </row>
    <row r="144">
      <c r="A144" s="14">
        <f t="shared" si="2"/>
        <v>141</v>
      </c>
      <c r="B144" s="77">
        <f t="shared" si="3"/>
        <v>45931</v>
      </c>
      <c r="C144" s="48">
        <v>45949.0</v>
      </c>
      <c r="D144" s="49">
        <f t="shared" si="4"/>
        <v>45949</v>
      </c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78"/>
      <c r="BE144" s="78"/>
      <c r="BF144" s="78"/>
      <c r="BG144" s="56">
        <f t="shared" si="5"/>
        <v>0</v>
      </c>
      <c r="BH144" s="42">
        <f t="shared" si="6"/>
        <v>0</v>
      </c>
      <c r="BI144" s="43" t="str">
        <f t="shared" si="7"/>
        <v>#DIV/0!</v>
      </c>
      <c r="BJ144" s="44">
        <f t="shared" si="8"/>
        <v>0</v>
      </c>
      <c r="BK144" s="42">
        <f t="shared" si="9"/>
        <v>0</v>
      </c>
      <c r="BL144" s="28"/>
      <c r="BM144" s="28"/>
      <c r="BN144" s="28"/>
      <c r="BO144" s="28"/>
    </row>
    <row r="145">
      <c r="A145" s="14">
        <f t="shared" si="2"/>
        <v>142</v>
      </c>
      <c r="B145" s="77">
        <f t="shared" si="3"/>
        <v>45931</v>
      </c>
      <c r="C145" s="48">
        <v>45950.0</v>
      </c>
      <c r="D145" s="57">
        <f t="shared" si="4"/>
        <v>45950</v>
      </c>
      <c r="E145" s="59" t="s">
        <v>122</v>
      </c>
      <c r="F145" s="59" t="s">
        <v>122</v>
      </c>
      <c r="G145" s="59" t="s">
        <v>122</v>
      </c>
      <c r="H145" s="59" t="s">
        <v>122</v>
      </c>
      <c r="I145" s="59" t="s">
        <v>122</v>
      </c>
      <c r="J145" s="59" t="s">
        <v>122</v>
      </c>
      <c r="K145" s="59" t="s">
        <v>122</v>
      </c>
      <c r="L145" s="59" t="s">
        <v>122</v>
      </c>
      <c r="M145" s="59" t="s">
        <v>122</v>
      </c>
      <c r="N145" s="59" t="s">
        <v>122</v>
      </c>
      <c r="O145" s="59" t="s">
        <v>122</v>
      </c>
      <c r="P145" s="59" t="s">
        <v>122</v>
      </c>
      <c r="Q145" s="59" t="s">
        <v>122</v>
      </c>
      <c r="R145" s="59" t="s">
        <v>122</v>
      </c>
      <c r="S145" s="59" t="s">
        <v>122</v>
      </c>
      <c r="T145" s="59" t="s">
        <v>122</v>
      </c>
      <c r="U145" s="59" t="s">
        <v>122</v>
      </c>
      <c r="V145" s="59" t="s">
        <v>122</v>
      </c>
      <c r="W145" s="59" t="s">
        <v>122</v>
      </c>
      <c r="X145" s="59" t="s">
        <v>122</v>
      </c>
      <c r="Y145" s="59" t="s">
        <v>122</v>
      </c>
      <c r="Z145" s="59" t="s">
        <v>122</v>
      </c>
      <c r="AA145" s="59" t="s">
        <v>122</v>
      </c>
      <c r="AB145" s="59" t="s">
        <v>122</v>
      </c>
      <c r="AC145" s="59" t="s">
        <v>122</v>
      </c>
      <c r="AD145" s="59" t="s">
        <v>122</v>
      </c>
      <c r="AE145" s="59" t="s">
        <v>122</v>
      </c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8"/>
      <c r="AQ145" s="58"/>
      <c r="AR145" s="58"/>
      <c r="AS145" s="58"/>
      <c r="AT145" s="58"/>
      <c r="AU145" s="58"/>
      <c r="AV145" s="58"/>
      <c r="AW145" s="58"/>
      <c r="AX145" s="58"/>
      <c r="AY145" s="58"/>
      <c r="AZ145" s="58"/>
      <c r="BA145" s="58"/>
      <c r="BB145" s="58"/>
      <c r="BC145" s="58"/>
      <c r="BD145" s="28"/>
      <c r="BE145" s="28"/>
      <c r="BF145" s="28"/>
      <c r="BG145" s="56">
        <f t="shared" si="5"/>
        <v>0</v>
      </c>
      <c r="BH145" s="42">
        <f t="shared" si="6"/>
        <v>0</v>
      </c>
      <c r="BI145" s="43" t="str">
        <f t="shared" si="7"/>
        <v>#DIV/0!</v>
      </c>
      <c r="BJ145" s="44">
        <f t="shared" si="8"/>
        <v>0</v>
      </c>
      <c r="BK145" s="42">
        <f t="shared" si="9"/>
        <v>0</v>
      </c>
      <c r="BL145" s="28"/>
      <c r="BM145" s="28"/>
      <c r="BN145" s="28"/>
      <c r="BO145" s="28"/>
    </row>
    <row r="146">
      <c r="A146" s="14">
        <f t="shared" si="2"/>
        <v>143</v>
      </c>
      <c r="B146" s="77">
        <f t="shared" si="3"/>
        <v>45931</v>
      </c>
      <c r="C146" s="48">
        <v>45951.0</v>
      </c>
      <c r="D146" s="57">
        <f t="shared" si="4"/>
        <v>45951</v>
      </c>
      <c r="E146" s="59" t="s">
        <v>122</v>
      </c>
      <c r="F146" s="59" t="s">
        <v>122</v>
      </c>
      <c r="G146" s="59" t="s">
        <v>122</v>
      </c>
      <c r="H146" s="59" t="s">
        <v>122</v>
      </c>
      <c r="I146" s="59" t="s">
        <v>122</v>
      </c>
      <c r="J146" s="59" t="s">
        <v>122</v>
      </c>
      <c r="K146" s="59" t="s">
        <v>122</v>
      </c>
      <c r="L146" s="59" t="s">
        <v>122</v>
      </c>
      <c r="M146" s="59" t="s">
        <v>122</v>
      </c>
      <c r="N146" s="59" t="s">
        <v>122</v>
      </c>
      <c r="O146" s="59" t="s">
        <v>122</v>
      </c>
      <c r="P146" s="59" t="s">
        <v>122</v>
      </c>
      <c r="Q146" s="59" t="s">
        <v>122</v>
      </c>
      <c r="R146" s="59" t="s">
        <v>122</v>
      </c>
      <c r="S146" s="59" t="s">
        <v>122</v>
      </c>
      <c r="T146" s="59" t="s">
        <v>122</v>
      </c>
      <c r="U146" s="59" t="s">
        <v>122</v>
      </c>
      <c r="V146" s="59" t="s">
        <v>122</v>
      </c>
      <c r="W146" s="59" t="s">
        <v>122</v>
      </c>
      <c r="X146" s="59" t="s">
        <v>122</v>
      </c>
      <c r="Y146" s="59" t="s">
        <v>122</v>
      </c>
      <c r="Z146" s="59" t="s">
        <v>122</v>
      </c>
      <c r="AA146" s="59" t="s">
        <v>122</v>
      </c>
      <c r="AB146" s="59" t="s">
        <v>122</v>
      </c>
      <c r="AC146" s="59" t="s">
        <v>122</v>
      </c>
      <c r="AD146" s="59" t="s">
        <v>122</v>
      </c>
      <c r="AE146" s="59" t="s">
        <v>122</v>
      </c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8"/>
      <c r="AQ146" s="58"/>
      <c r="AR146" s="58"/>
      <c r="AS146" s="58"/>
      <c r="AT146" s="58"/>
      <c r="AU146" s="58"/>
      <c r="AV146" s="58"/>
      <c r="AW146" s="58"/>
      <c r="AX146" s="58"/>
      <c r="AY146" s="58"/>
      <c r="AZ146" s="58"/>
      <c r="BA146" s="58"/>
      <c r="BB146" s="58"/>
      <c r="BC146" s="58"/>
      <c r="BD146" s="28"/>
      <c r="BE146" s="28"/>
      <c r="BF146" s="28"/>
      <c r="BG146" s="56">
        <f t="shared" si="5"/>
        <v>0</v>
      </c>
      <c r="BH146" s="42">
        <f t="shared" si="6"/>
        <v>0</v>
      </c>
      <c r="BI146" s="43" t="str">
        <f t="shared" si="7"/>
        <v>#DIV/0!</v>
      </c>
      <c r="BJ146" s="44">
        <f t="shared" si="8"/>
        <v>0</v>
      </c>
      <c r="BK146" s="42">
        <f t="shared" si="9"/>
        <v>0</v>
      </c>
      <c r="BL146" s="28"/>
      <c r="BM146" s="28"/>
      <c r="BN146" s="28"/>
      <c r="BO146" s="28"/>
    </row>
    <row r="147">
      <c r="A147" s="14">
        <f t="shared" si="2"/>
        <v>144</v>
      </c>
      <c r="B147" s="77">
        <f t="shared" si="3"/>
        <v>45931</v>
      </c>
      <c r="C147" s="48">
        <v>45952.0</v>
      </c>
      <c r="D147" s="57">
        <f t="shared" si="4"/>
        <v>45952</v>
      </c>
      <c r="E147" s="59" t="s">
        <v>122</v>
      </c>
      <c r="F147" s="59" t="s">
        <v>122</v>
      </c>
      <c r="G147" s="59" t="s">
        <v>122</v>
      </c>
      <c r="H147" s="59" t="s">
        <v>122</v>
      </c>
      <c r="I147" s="59" t="s">
        <v>122</v>
      </c>
      <c r="J147" s="59" t="s">
        <v>122</v>
      </c>
      <c r="K147" s="59" t="s">
        <v>122</v>
      </c>
      <c r="L147" s="59" t="s">
        <v>122</v>
      </c>
      <c r="M147" s="59" t="s">
        <v>122</v>
      </c>
      <c r="N147" s="59" t="s">
        <v>122</v>
      </c>
      <c r="O147" s="59" t="s">
        <v>122</v>
      </c>
      <c r="P147" s="59" t="s">
        <v>122</v>
      </c>
      <c r="Q147" s="59" t="s">
        <v>122</v>
      </c>
      <c r="R147" s="59" t="s">
        <v>122</v>
      </c>
      <c r="S147" s="59" t="s">
        <v>122</v>
      </c>
      <c r="T147" s="59" t="s">
        <v>122</v>
      </c>
      <c r="U147" s="59" t="s">
        <v>122</v>
      </c>
      <c r="V147" s="59" t="s">
        <v>122</v>
      </c>
      <c r="W147" s="59" t="s">
        <v>122</v>
      </c>
      <c r="X147" s="59" t="s">
        <v>122</v>
      </c>
      <c r="Y147" s="59" t="s">
        <v>122</v>
      </c>
      <c r="Z147" s="59" t="s">
        <v>122</v>
      </c>
      <c r="AA147" s="59" t="s">
        <v>122</v>
      </c>
      <c r="AB147" s="59" t="s">
        <v>122</v>
      </c>
      <c r="AC147" s="59" t="s">
        <v>122</v>
      </c>
      <c r="AD147" s="59" t="s">
        <v>122</v>
      </c>
      <c r="AE147" s="59" t="s">
        <v>122</v>
      </c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58"/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8"/>
      <c r="BB147" s="58"/>
      <c r="BC147" s="58"/>
      <c r="BD147" s="28"/>
      <c r="BE147" s="28"/>
      <c r="BF147" s="28"/>
      <c r="BG147" s="56">
        <f t="shared" si="5"/>
        <v>0</v>
      </c>
      <c r="BH147" s="42">
        <f t="shared" si="6"/>
        <v>0</v>
      </c>
      <c r="BI147" s="43" t="str">
        <f t="shared" si="7"/>
        <v>#DIV/0!</v>
      </c>
      <c r="BJ147" s="44">
        <f t="shared" si="8"/>
        <v>0</v>
      </c>
      <c r="BK147" s="42">
        <f t="shared" si="9"/>
        <v>0</v>
      </c>
      <c r="BL147" s="28"/>
      <c r="BM147" s="28"/>
      <c r="BN147" s="28"/>
      <c r="BO147" s="28"/>
    </row>
    <row r="148">
      <c r="A148" s="14">
        <f t="shared" si="2"/>
        <v>145</v>
      </c>
      <c r="B148" s="77">
        <f t="shared" si="3"/>
        <v>45931</v>
      </c>
      <c r="C148" s="48">
        <v>45953.0</v>
      </c>
      <c r="D148" s="57">
        <f t="shared" si="4"/>
        <v>45953</v>
      </c>
      <c r="E148" s="59" t="s">
        <v>122</v>
      </c>
      <c r="F148" s="59" t="s">
        <v>122</v>
      </c>
      <c r="G148" s="59" t="s">
        <v>122</v>
      </c>
      <c r="H148" s="59" t="s">
        <v>122</v>
      </c>
      <c r="I148" s="59" t="s">
        <v>122</v>
      </c>
      <c r="J148" s="59" t="s">
        <v>122</v>
      </c>
      <c r="K148" s="59" t="s">
        <v>122</v>
      </c>
      <c r="L148" s="59" t="s">
        <v>122</v>
      </c>
      <c r="M148" s="59" t="s">
        <v>122</v>
      </c>
      <c r="N148" s="59" t="s">
        <v>122</v>
      </c>
      <c r="O148" s="59" t="s">
        <v>122</v>
      </c>
      <c r="P148" s="59" t="s">
        <v>122</v>
      </c>
      <c r="Q148" s="59" t="s">
        <v>122</v>
      </c>
      <c r="R148" s="59" t="s">
        <v>122</v>
      </c>
      <c r="S148" s="59" t="s">
        <v>122</v>
      </c>
      <c r="T148" s="59" t="s">
        <v>122</v>
      </c>
      <c r="U148" s="59" t="s">
        <v>122</v>
      </c>
      <c r="V148" s="59" t="s">
        <v>122</v>
      </c>
      <c r="W148" s="59" t="s">
        <v>122</v>
      </c>
      <c r="X148" s="59" t="s">
        <v>122</v>
      </c>
      <c r="Y148" s="59" t="s">
        <v>122</v>
      </c>
      <c r="Z148" s="59" t="s">
        <v>122</v>
      </c>
      <c r="AA148" s="59" t="s">
        <v>122</v>
      </c>
      <c r="AB148" s="59" t="s">
        <v>122</v>
      </c>
      <c r="AC148" s="59" t="s">
        <v>122</v>
      </c>
      <c r="AD148" s="59" t="s">
        <v>122</v>
      </c>
      <c r="AE148" s="59" t="s">
        <v>122</v>
      </c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8"/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8"/>
      <c r="BB148" s="58"/>
      <c r="BC148" s="58"/>
      <c r="BD148" s="28"/>
      <c r="BE148" s="28"/>
      <c r="BF148" s="28"/>
      <c r="BG148" s="56">
        <f t="shared" si="5"/>
        <v>0</v>
      </c>
      <c r="BH148" s="42">
        <f t="shared" si="6"/>
        <v>0</v>
      </c>
      <c r="BI148" s="43" t="str">
        <f t="shared" si="7"/>
        <v>#DIV/0!</v>
      </c>
      <c r="BJ148" s="44">
        <f t="shared" si="8"/>
        <v>0</v>
      </c>
      <c r="BK148" s="42">
        <f t="shared" si="9"/>
        <v>0</v>
      </c>
      <c r="BL148" s="28"/>
      <c r="BM148" s="28"/>
      <c r="BN148" s="28"/>
      <c r="BO148" s="28"/>
    </row>
    <row r="149">
      <c r="A149" s="14">
        <f t="shared" si="2"/>
        <v>146</v>
      </c>
      <c r="B149" s="77">
        <f t="shared" si="3"/>
        <v>45931</v>
      </c>
      <c r="C149" s="48">
        <v>45954.0</v>
      </c>
      <c r="D149" s="57">
        <f t="shared" si="4"/>
        <v>45954</v>
      </c>
      <c r="E149" s="59" t="s">
        <v>122</v>
      </c>
      <c r="F149" s="59" t="s">
        <v>122</v>
      </c>
      <c r="G149" s="59" t="s">
        <v>122</v>
      </c>
      <c r="H149" s="59" t="s">
        <v>122</v>
      </c>
      <c r="I149" s="59" t="s">
        <v>122</v>
      </c>
      <c r="J149" s="59" t="s">
        <v>122</v>
      </c>
      <c r="K149" s="59" t="s">
        <v>122</v>
      </c>
      <c r="L149" s="59" t="s">
        <v>122</v>
      </c>
      <c r="M149" s="59" t="s">
        <v>122</v>
      </c>
      <c r="N149" s="59" t="s">
        <v>122</v>
      </c>
      <c r="O149" s="59" t="s">
        <v>122</v>
      </c>
      <c r="P149" s="59" t="s">
        <v>122</v>
      </c>
      <c r="Q149" s="59" t="s">
        <v>122</v>
      </c>
      <c r="R149" s="59" t="s">
        <v>122</v>
      </c>
      <c r="S149" s="59" t="s">
        <v>122</v>
      </c>
      <c r="T149" s="59" t="s">
        <v>122</v>
      </c>
      <c r="U149" s="59" t="s">
        <v>122</v>
      </c>
      <c r="V149" s="59" t="s">
        <v>122</v>
      </c>
      <c r="W149" s="59" t="s">
        <v>122</v>
      </c>
      <c r="X149" s="59" t="s">
        <v>122</v>
      </c>
      <c r="Y149" s="59" t="s">
        <v>122</v>
      </c>
      <c r="Z149" s="59" t="s">
        <v>122</v>
      </c>
      <c r="AA149" s="59" t="s">
        <v>122</v>
      </c>
      <c r="AB149" s="59" t="s">
        <v>122</v>
      </c>
      <c r="AC149" s="59" t="s">
        <v>122</v>
      </c>
      <c r="AD149" s="59" t="s">
        <v>122</v>
      </c>
      <c r="AE149" s="59" t="s">
        <v>122</v>
      </c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8"/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8"/>
      <c r="BB149" s="58"/>
      <c r="BC149" s="58"/>
      <c r="BD149" s="28"/>
      <c r="BE149" s="28"/>
      <c r="BF149" s="28"/>
      <c r="BG149" s="56">
        <f t="shared" si="5"/>
        <v>0</v>
      </c>
      <c r="BH149" s="42">
        <f t="shared" si="6"/>
        <v>0</v>
      </c>
      <c r="BI149" s="43" t="str">
        <f t="shared" si="7"/>
        <v>#DIV/0!</v>
      </c>
      <c r="BJ149" s="44">
        <f t="shared" si="8"/>
        <v>0</v>
      </c>
      <c r="BK149" s="42">
        <f t="shared" si="9"/>
        <v>0</v>
      </c>
      <c r="BL149" s="28"/>
      <c r="BM149" s="28"/>
      <c r="BN149" s="28"/>
      <c r="BO149" s="28"/>
    </row>
    <row r="150">
      <c r="A150" s="14">
        <f t="shared" si="2"/>
        <v>147</v>
      </c>
      <c r="B150" s="77">
        <f t="shared" si="3"/>
        <v>45931</v>
      </c>
      <c r="C150" s="48">
        <v>45955.0</v>
      </c>
      <c r="D150" s="57">
        <f t="shared" si="4"/>
        <v>45955</v>
      </c>
      <c r="E150" s="59" t="s">
        <v>122</v>
      </c>
      <c r="F150" s="59" t="s">
        <v>122</v>
      </c>
      <c r="G150" s="59" t="s">
        <v>122</v>
      </c>
      <c r="H150" s="59" t="s">
        <v>122</v>
      </c>
      <c r="I150" s="59" t="s">
        <v>122</v>
      </c>
      <c r="J150" s="59" t="s">
        <v>122</v>
      </c>
      <c r="K150" s="59" t="s">
        <v>122</v>
      </c>
      <c r="L150" s="59" t="s">
        <v>122</v>
      </c>
      <c r="M150" s="59" t="s">
        <v>122</v>
      </c>
      <c r="N150" s="59" t="s">
        <v>122</v>
      </c>
      <c r="O150" s="59" t="s">
        <v>122</v>
      </c>
      <c r="P150" s="59" t="s">
        <v>122</v>
      </c>
      <c r="Q150" s="59" t="s">
        <v>122</v>
      </c>
      <c r="R150" s="59" t="s">
        <v>122</v>
      </c>
      <c r="S150" s="59" t="s">
        <v>122</v>
      </c>
      <c r="T150" s="59" t="s">
        <v>122</v>
      </c>
      <c r="U150" s="59" t="s">
        <v>122</v>
      </c>
      <c r="V150" s="59" t="s">
        <v>122</v>
      </c>
      <c r="W150" s="59" t="s">
        <v>122</v>
      </c>
      <c r="X150" s="59" t="s">
        <v>122</v>
      </c>
      <c r="Y150" s="59" t="s">
        <v>122</v>
      </c>
      <c r="Z150" s="59" t="s">
        <v>122</v>
      </c>
      <c r="AA150" s="59" t="s">
        <v>122</v>
      </c>
      <c r="AB150" s="59" t="s">
        <v>122</v>
      </c>
      <c r="AC150" s="59" t="s">
        <v>122</v>
      </c>
      <c r="AD150" s="59" t="s">
        <v>122</v>
      </c>
      <c r="AE150" s="59" t="s">
        <v>122</v>
      </c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8"/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8"/>
      <c r="BB150" s="58"/>
      <c r="BC150" s="58"/>
      <c r="BD150" s="28"/>
      <c r="BE150" s="28"/>
      <c r="BF150" s="28"/>
      <c r="BG150" s="56">
        <f t="shared" si="5"/>
        <v>0</v>
      </c>
      <c r="BH150" s="42">
        <f t="shared" si="6"/>
        <v>0</v>
      </c>
      <c r="BI150" s="43" t="str">
        <f t="shared" si="7"/>
        <v>#DIV/0!</v>
      </c>
      <c r="BJ150" s="44">
        <f t="shared" si="8"/>
        <v>0</v>
      </c>
      <c r="BK150" s="42">
        <f t="shared" si="9"/>
        <v>0</v>
      </c>
      <c r="BL150" s="28"/>
      <c r="BM150" s="28"/>
      <c r="BN150" s="28"/>
      <c r="BO150" s="28"/>
    </row>
    <row r="151">
      <c r="A151" s="14">
        <f t="shared" si="2"/>
        <v>148</v>
      </c>
      <c r="B151" s="77">
        <f t="shared" si="3"/>
        <v>45931</v>
      </c>
      <c r="C151" s="48">
        <v>45956.0</v>
      </c>
      <c r="D151" s="49">
        <f t="shared" si="4"/>
        <v>45956</v>
      </c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78"/>
      <c r="BE151" s="78"/>
      <c r="BF151" s="78"/>
      <c r="BG151" s="56">
        <f t="shared" si="5"/>
        <v>0</v>
      </c>
      <c r="BH151" s="42">
        <f t="shared" si="6"/>
        <v>0</v>
      </c>
      <c r="BI151" s="43" t="str">
        <f t="shared" si="7"/>
        <v>#DIV/0!</v>
      </c>
      <c r="BJ151" s="44">
        <f t="shared" si="8"/>
        <v>0</v>
      </c>
      <c r="BK151" s="42">
        <f t="shared" si="9"/>
        <v>0</v>
      </c>
      <c r="BL151" s="28"/>
      <c r="BM151" s="28"/>
      <c r="BN151" s="28"/>
      <c r="BO151" s="28"/>
    </row>
    <row r="152">
      <c r="A152" s="14">
        <f t="shared" si="2"/>
        <v>149</v>
      </c>
      <c r="B152" s="77">
        <f t="shared" si="3"/>
        <v>45931</v>
      </c>
      <c r="C152" s="48">
        <v>45957.0</v>
      </c>
      <c r="D152" s="57">
        <f t="shared" si="4"/>
        <v>45957</v>
      </c>
      <c r="E152" s="59" t="s">
        <v>121</v>
      </c>
      <c r="F152" s="59" t="s">
        <v>121</v>
      </c>
      <c r="G152" s="59" t="s">
        <v>121</v>
      </c>
      <c r="H152" s="59" t="s">
        <v>121</v>
      </c>
      <c r="I152" s="59" t="s">
        <v>121</v>
      </c>
      <c r="J152" s="59" t="s">
        <v>120</v>
      </c>
      <c r="K152" s="59" t="s">
        <v>120</v>
      </c>
      <c r="L152" s="59" t="s">
        <v>120</v>
      </c>
      <c r="M152" s="59" t="s">
        <v>120</v>
      </c>
      <c r="N152" s="59" t="s">
        <v>120</v>
      </c>
      <c r="O152" s="59" t="s">
        <v>120</v>
      </c>
      <c r="P152" s="59" t="s">
        <v>120</v>
      </c>
      <c r="Q152" s="59" t="s">
        <v>120</v>
      </c>
      <c r="R152" s="59" t="s">
        <v>120</v>
      </c>
      <c r="S152" s="59" t="s">
        <v>121</v>
      </c>
      <c r="T152" s="59" t="s">
        <v>121</v>
      </c>
      <c r="U152" s="59" t="s">
        <v>121</v>
      </c>
      <c r="V152" s="59" t="s">
        <v>121</v>
      </c>
      <c r="W152" s="59" t="s">
        <v>121</v>
      </c>
      <c r="X152" s="59" t="s">
        <v>121</v>
      </c>
      <c r="Y152" s="59" t="s">
        <v>121</v>
      </c>
      <c r="Z152" s="59" t="s">
        <v>121</v>
      </c>
      <c r="AA152" s="59" t="s">
        <v>121</v>
      </c>
      <c r="AB152" s="59" t="s">
        <v>92</v>
      </c>
      <c r="AC152" s="59" t="s">
        <v>120</v>
      </c>
      <c r="AD152" s="59" t="s">
        <v>120</v>
      </c>
      <c r="AE152" s="59" t="s">
        <v>121</v>
      </c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8"/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8"/>
      <c r="BB152" s="58"/>
      <c r="BC152" s="58"/>
      <c r="BD152" s="28"/>
      <c r="BE152" s="28"/>
      <c r="BF152" s="28"/>
      <c r="BG152" s="56">
        <f t="shared" si="5"/>
        <v>27</v>
      </c>
      <c r="BH152" s="42">
        <f t="shared" si="6"/>
        <v>11</v>
      </c>
      <c r="BI152" s="43">
        <f t="shared" si="7"/>
        <v>0.4074074074</v>
      </c>
      <c r="BJ152" s="44">
        <f t="shared" si="8"/>
        <v>15</v>
      </c>
      <c r="BK152" s="42">
        <f t="shared" si="9"/>
        <v>1</v>
      </c>
      <c r="BL152" s="28"/>
      <c r="BM152" s="28"/>
      <c r="BN152" s="28"/>
      <c r="BO152" s="28"/>
    </row>
    <row r="153">
      <c r="A153" s="14">
        <f t="shared" si="2"/>
        <v>150</v>
      </c>
      <c r="B153" s="77">
        <f t="shared" si="3"/>
        <v>45931</v>
      </c>
      <c r="C153" s="48">
        <v>45958.0</v>
      </c>
      <c r="D153" s="57">
        <f t="shared" si="4"/>
        <v>45958</v>
      </c>
      <c r="E153" s="59" t="s">
        <v>121</v>
      </c>
      <c r="F153" s="59" t="s">
        <v>121</v>
      </c>
      <c r="G153" s="59" t="s">
        <v>121</v>
      </c>
      <c r="H153" s="59" t="s">
        <v>121</v>
      </c>
      <c r="I153" s="59" t="s">
        <v>120</v>
      </c>
      <c r="J153" s="59" t="s">
        <v>120</v>
      </c>
      <c r="K153" s="59" t="s">
        <v>120</v>
      </c>
      <c r="L153" s="59" t="s">
        <v>121</v>
      </c>
      <c r="M153" s="59" t="s">
        <v>120</v>
      </c>
      <c r="N153" s="59" t="s">
        <v>120</v>
      </c>
      <c r="O153" s="59" t="s">
        <v>120</v>
      </c>
      <c r="P153" s="59" t="s">
        <v>120</v>
      </c>
      <c r="Q153" s="59" t="s">
        <v>121</v>
      </c>
      <c r="R153" s="59" t="s">
        <v>120</v>
      </c>
      <c r="S153" s="59" t="s">
        <v>121</v>
      </c>
      <c r="T153" s="59" t="s">
        <v>121</v>
      </c>
      <c r="U153" s="59" t="s">
        <v>121</v>
      </c>
      <c r="V153" s="59" t="s">
        <v>121</v>
      </c>
      <c r="W153" s="59" t="s">
        <v>120</v>
      </c>
      <c r="X153" s="59" t="s">
        <v>121</v>
      </c>
      <c r="Y153" s="59" t="s">
        <v>121</v>
      </c>
      <c r="Z153" s="59" t="s">
        <v>121</v>
      </c>
      <c r="AA153" s="59" t="s">
        <v>120</v>
      </c>
      <c r="AB153" s="59" t="s">
        <v>92</v>
      </c>
      <c r="AC153" s="59" t="s">
        <v>120</v>
      </c>
      <c r="AD153" s="59" t="s">
        <v>120</v>
      </c>
      <c r="AE153" s="59" t="s">
        <v>120</v>
      </c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8"/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8"/>
      <c r="BB153" s="58"/>
      <c r="BC153" s="58"/>
      <c r="BD153" s="28"/>
      <c r="BE153" s="28"/>
      <c r="BF153" s="28"/>
      <c r="BG153" s="56">
        <f t="shared" si="5"/>
        <v>27</v>
      </c>
      <c r="BH153" s="42">
        <f t="shared" si="6"/>
        <v>13</v>
      </c>
      <c r="BI153" s="43">
        <f t="shared" si="7"/>
        <v>0.4814814815</v>
      </c>
      <c r="BJ153" s="44">
        <f t="shared" si="8"/>
        <v>13</v>
      </c>
      <c r="BK153" s="42">
        <f t="shared" si="9"/>
        <v>1</v>
      </c>
      <c r="BL153" s="28"/>
      <c r="BM153" s="28"/>
      <c r="BN153" s="28"/>
      <c r="BO153" s="28"/>
    </row>
    <row r="154">
      <c r="A154" s="14">
        <f t="shared" si="2"/>
        <v>151</v>
      </c>
      <c r="B154" s="77">
        <f t="shared" si="3"/>
        <v>45931</v>
      </c>
      <c r="C154" s="48">
        <v>45959.0</v>
      </c>
      <c r="D154" s="57">
        <f t="shared" si="4"/>
        <v>45959</v>
      </c>
      <c r="E154" s="59" t="s">
        <v>121</v>
      </c>
      <c r="F154" s="59" t="s">
        <v>121</v>
      </c>
      <c r="G154" s="59" t="s">
        <v>121</v>
      </c>
      <c r="H154" s="59" t="s">
        <v>120</v>
      </c>
      <c r="I154" s="59" t="s">
        <v>120</v>
      </c>
      <c r="J154" s="59" t="s">
        <v>120</v>
      </c>
      <c r="K154" s="59" t="s">
        <v>120</v>
      </c>
      <c r="L154" s="59" t="s">
        <v>121</v>
      </c>
      <c r="M154" s="59" t="s">
        <v>120</v>
      </c>
      <c r="N154" s="59" t="s">
        <v>120</v>
      </c>
      <c r="O154" s="59" t="s">
        <v>120</v>
      </c>
      <c r="P154" s="59" t="s">
        <v>120</v>
      </c>
      <c r="Q154" s="59" t="s">
        <v>120</v>
      </c>
      <c r="R154" s="59" t="s">
        <v>120</v>
      </c>
      <c r="S154" s="59" t="s">
        <v>120</v>
      </c>
      <c r="T154" s="59" t="s">
        <v>120</v>
      </c>
      <c r="U154" s="59" t="s">
        <v>120</v>
      </c>
      <c r="V154" s="59" t="s">
        <v>121</v>
      </c>
      <c r="W154" s="59" t="s">
        <v>120</v>
      </c>
      <c r="X154" s="59" t="s">
        <v>121</v>
      </c>
      <c r="Y154" s="59" t="s">
        <v>120</v>
      </c>
      <c r="Z154" s="59" t="s">
        <v>120</v>
      </c>
      <c r="AA154" s="59" t="s">
        <v>121</v>
      </c>
      <c r="AB154" s="59" t="s">
        <v>92</v>
      </c>
      <c r="AC154" s="59" t="s">
        <v>120</v>
      </c>
      <c r="AD154" s="59" t="s">
        <v>121</v>
      </c>
      <c r="AE154" s="59" t="s">
        <v>120</v>
      </c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58"/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8"/>
      <c r="BB154" s="58"/>
      <c r="BC154" s="58"/>
      <c r="BD154" s="28"/>
      <c r="BE154" s="28"/>
      <c r="BF154" s="28"/>
      <c r="BG154" s="56">
        <f t="shared" si="5"/>
        <v>27</v>
      </c>
      <c r="BH154" s="42">
        <f t="shared" si="6"/>
        <v>18</v>
      </c>
      <c r="BI154" s="43">
        <f t="shared" si="7"/>
        <v>0.6666666667</v>
      </c>
      <c r="BJ154" s="44">
        <f t="shared" si="8"/>
        <v>8</v>
      </c>
      <c r="BK154" s="42">
        <f t="shared" si="9"/>
        <v>1</v>
      </c>
      <c r="BL154" s="28"/>
      <c r="BM154" s="28"/>
      <c r="BN154" s="28"/>
      <c r="BO154" s="28"/>
    </row>
    <row r="155">
      <c r="A155" s="14">
        <f t="shared" si="2"/>
        <v>152</v>
      </c>
      <c r="B155" s="77">
        <f t="shared" si="3"/>
        <v>45931</v>
      </c>
      <c r="C155" s="48">
        <v>45960.0</v>
      </c>
      <c r="D155" s="57">
        <f t="shared" si="4"/>
        <v>45960</v>
      </c>
      <c r="E155" s="59" t="s">
        <v>121</v>
      </c>
      <c r="F155" s="59" t="s">
        <v>121</v>
      </c>
      <c r="G155" s="59" t="s">
        <v>121</v>
      </c>
      <c r="H155" s="59" t="s">
        <v>120</v>
      </c>
      <c r="I155" s="59" t="s">
        <v>120</v>
      </c>
      <c r="J155" s="59" t="s">
        <v>120</v>
      </c>
      <c r="K155" s="59" t="s">
        <v>120</v>
      </c>
      <c r="L155" s="59" t="s">
        <v>120</v>
      </c>
      <c r="M155" s="59" t="s">
        <v>120</v>
      </c>
      <c r="N155" s="59" t="s">
        <v>120</v>
      </c>
      <c r="O155" s="59" t="s">
        <v>120</v>
      </c>
      <c r="P155" s="59" t="s">
        <v>120</v>
      </c>
      <c r="Q155" s="59" t="s">
        <v>120</v>
      </c>
      <c r="R155" s="59" t="s">
        <v>120</v>
      </c>
      <c r="S155" s="59" t="s">
        <v>120</v>
      </c>
      <c r="T155" s="59" t="s">
        <v>120</v>
      </c>
      <c r="U155" s="59" t="s">
        <v>120</v>
      </c>
      <c r="V155" s="59" t="s">
        <v>120</v>
      </c>
      <c r="W155" s="59" t="s">
        <v>120</v>
      </c>
      <c r="X155" s="59" t="s">
        <v>120</v>
      </c>
      <c r="Y155" s="59" t="s">
        <v>120</v>
      </c>
      <c r="Z155" s="59" t="s">
        <v>120</v>
      </c>
      <c r="AA155" s="59" t="s">
        <v>120</v>
      </c>
      <c r="AB155" s="59" t="s">
        <v>92</v>
      </c>
      <c r="AC155" s="59" t="s">
        <v>120</v>
      </c>
      <c r="AD155" s="59" t="s">
        <v>121</v>
      </c>
      <c r="AE155" s="59" t="s">
        <v>120</v>
      </c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8"/>
      <c r="AQ155" s="58"/>
      <c r="AR155" s="58"/>
      <c r="AS155" s="58"/>
      <c r="AT155" s="58"/>
      <c r="AU155" s="58"/>
      <c r="AV155" s="58"/>
      <c r="AW155" s="58"/>
      <c r="AX155" s="58"/>
      <c r="AY155" s="58"/>
      <c r="AZ155" s="58"/>
      <c r="BA155" s="58"/>
      <c r="BB155" s="58"/>
      <c r="BC155" s="58"/>
      <c r="BD155" s="28"/>
      <c r="BE155" s="28"/>
      <c r="BF155" s="28"/>
      <c r="BG155" s="56">
        <f t="shared" si="5"/>
        <v>27</v>
      </c>
      <c r="BH155" s="42">
        <f t="shared" si="6"/>
        <v>22</v>
      </c>
      <c r="BI155" s="43">
        <f t="shared" si="7"/>
        <v>0.8148148148</v>
      </c>
      <c r="BJ155" s="44">
        <f t="shared" si="8"/>
        <v>4</v>
      </c>
      <c r="BK155" s="42">
        <f t="shared" si="9"/>
        <v>1</v>
      </c>
      <c r="BL155" s="28"/>
      <c r="BM155" s="28"/>
      <c r="BN155" s="28"/>
      <c r="BO155" s="28"/>
    </row>
    <row r="156">
      <c r="A156" s="14">
        <f t="shared" si="2"/>
        <v>153</v>
      </c>
      <c r="B156" s="77">
        <f t="shared" si="3"/>
        <v>45931</v>
      </c>
      <c r="C156" s="48">
        <v>45961.0</v>
      </c>
      <c r="D156" s="57">
        <f t="shared" si="4"/>
        <v>45961</v>
      </c>
      <c r="E156" s="59" t="s">
        <v>121</v>
      </c>
      <c r="F156" s="59" t="s">
        <v>121</v>
      </c>
      <c r="G156" s="59" t="s">
        <v>121</v>
      </c>
      <c r="H156" s="59" t="s">
        <v>120</v>
      </c>
      <c r="I156" s="59" t="s">
        <v>120</v>
      </c>
      <c r="J156" s="59" t="s">
        <v>120</v>
      </c>
      <c r="K156" s="59" t="s">
        <v>120</v>
      </c>
      <c r="L156" s="59" t="s">
        <v>121</v>
      </c>
      <c r="M156" s="59" t="s">
        <v>120</v>
      </c>
      <c r="N156" s="59" t="s">
        <v>120</v>
      </c>
      <c r="O156" s="59" t="s">
        <v>120</v>
      </c>
      <c r="P156" s="59" t="s">
        <v>120</v>
      </c>
      <c r="Q156" s="59" t="s">
        <v>120</v>
      </c>
      <c r="R156" s="59" t="s">
        <v>120</v>
      </c>
      <c r="S156" s="59" t="s">
        <v>120</v>
      </c>
      <c r="T156" s="59" t="s">
        <v>120</v>
      </c>
      <c r="U156" s="59" t="s">
        <v>120</v>
      </c>
      <c r="V156" s="59" t="s">
        <v>120</v>
      </c>
      <c r="W156" s="59" t="s">
        <v>120</v>
      </c>
      <c r="X156" s="59" t="s">
        <v>120</v>
      </c>
      <c r="Y156" s="59" t="s">
        <v>120</v>
      </c>
      <c r="Z156" s="59" t="s">
        <v>120</v>
      </c>
      <c r="AA156" s="59" t="s">
        <v>120</v>
      </c>
      <c r="AB156" s="59" t="s">
        <v>92</v>
      </c>
      <c r="AC156" s="59" t="s">
        <v>121</v>
      </c>
      <c r="AD156" s="59" t="s">
        <v>121</v>
      </c>
      <c r="AE156" s="59" t="s">
        <v>120</v>
      </c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8"/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8"/>
      <c r="BB156" s="58"/>
      <c r="BC156" s="58"/>
      <c r="BD156" s="28"/>
      <c r="BE156" s="28"/>
      <c r="BF156" s="28"/>
      <c r="BG156" s="56">
        <f t="shared" si="5"/>
        <v>27</v>
      </c>
      <c r="BH156" s="42">
        <f t="shared" si="6"/>
        <v>20</v>
      </c>
      <c r="BI156" s="43">
        <f t="shared" si="7"/>
        <v>0.7407407407</v>
      </c>
      <c r="BJ156" s="44">
        <f t="shared" si="8"/>
        <v>6</v>
      </c>
      <c r="BK156" s="42">
        <f t="shared" si="9"/>
        <v>1</v>
      </c>
      <c r="BL156" s="28"/>
      <c r="BM156" s="28"/>
      <c r="BN156" s="28"/>
      <c r="BO156" s="28"/>
    </row>
    <row r="157">
      <c r="A157" s="14">
        <f t="shared" si="2"/>
        <v>154</v>
      </c>
      <c r="B157" s="79">
        <f t="shared" si="3"/>
        <v>45962</v>
      </c>
      <c r="C157" s="48">
        <v>45962.0</v>
      </c>
      <c r="D157" s="57">
        <f t="shared" si="4"/>
        <v>45962</v>
      </c>
      <c r="E157" s="59" t="s">
        <v>121</v>
      </c>
      <c r="F157" s="59" t="s">
        <v>121</v>
      </c>
      <c r="G157" s="59" t="s">
        <v>121</v>
      </c>
      <c r="H157" s="59" t="s">
        <v>120</v>
      </c>
      <c r="I157" s="59" t="s">
        <v>120</v>
      </c>
      <c r="J157" s="59" t="s">
        <v>121</v>
      </c>
      <c r="K157" s="59" t="s">
        <v>120</v>
      </c>
      <c r="L157" s="59" t="s">
        <v>121</v>
      </c>
      <c r="M157" s="59" t="s">
        <v>121</v>
      </c>
      <c r="N157" s="59" t="s">
        <v>120</v>
      </c>
      <c r="O157" s="59" t="s">
        <v>120</v>
      </c>
      <c r="P157" s="59" t="s">
        <v>120</v>
      </c>
      <c r="Q157" s="59" t="s">
        <v>120</v>
      </c>
      <c r="R157" s="59" t="s">
        <v>120</v>
      </c>
      <c r="S157" s="59" t="s">
        <v>120</v>
      </c>
      <c r="T157" s="59" t="s">
        <v>120</v>
      </c>
      <c r="U157" s="59" t="s">
        <v>120</v>
      </c>
      <c r="V157" s="59" t="s">
        <v>120</v>
      </c>
      <c r="W157" s="59" t="s">
        <v>121</v>
      </c>
      <c r="X157" s="59" t="s">
        <v>120</v>
      </c>
      <c r="Y157" s="59" t="s">
        <v>120</v>
      </c>
      <c r="Z157" s="59" t="s">
        <v>120</v>
      </c>
      <c r="AA157" s="59" t="s">
        <v>120</v>
      </c>
      <c r="AB157" s="59" t="s">
        <v>92</v>
      </c>
      <c r="AC157" s="59" t="s">
        <v>121</v>
      </c>
      <c r="AD157" s="59" t="s">
        <v>121</v>
      </c>
      <c r="AE157" s="59" t="s">
        <v>120</v>
      </c>
      <c r="AF157" s="73"/>
      <c r="AG157" s="73"/>
      <c r="AH157" s="59" t="s">
        <v>120</v>
      </c>
      <c r="AI157" s="59"/>
      <c r="AJ157" s="59"/>
      <c r="AK157" s="59"/>
      <c r="AL157" s="59"/>
      <c r="AM157" s="59"/>
      <c r="AN157" s="59"/>
      <c r="AO157" s="59"/>
      <c r="AP157" s="58"/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8"/>
      <c r="BB157" s="58"/>
      <c r="BC157" s="58"/>
      <c r="BD157" s="28"/>
      <c r="BE157" s="28"/>
      <c r="BF157" s="28"/>
      <c r="BG157" s="56">
        <f t="shared" si="5"/>
        <v>28</v>
      </c>
      <c r="BH157" s="42">
        <f t="shared" si="6"/>
        <v>18</v>
      </c>
      <c r="BI157" s="43">
        <f t="shared" si="7"/>
        <v>0.6428571429</v>
      </c>
      <c r="BJ157" s="44">
        <f t="shared" si="8"/>
        <v>9</v>
      </c>
      <c r="BK157" s="42">
        <f t="shared" si="9"/>
        <v>1</v>
      </c>
      <c r="BL157" s="28"/>
      <c r="BM157" s="28"/>
      <c r="BN157" s="28"/>
      <c r="BO157" s="28"/>
    </row>
    <row r="158">
      <c r="A158" s="14">
        <f t="shared" si="2"/>
        <v>155</v>
      </c>
      <c r="B158" s="79">
        <f t="shared" si="3"/>
        <v>45962</v>
      </c>
      <c r="C158" s="48">
        <v>45963.0</v>
      </c>
      <c r="D158" s="49">
        <f t="shared" si="4"/>
        <v>45963</v>
      </c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78"/>
      <c r="BE158" s="78"/>
      <c r="BF158" s="78"/>
      <c r="BG158" s="56">
        <f t="shared" si="5"/>
        <v>0</v>
      </c>
      <c r="BH158" s="42">
        <f t="shared" si="6"/>
        <v>0</v>
      </c>
      <c r="BI158" s="43" t="str">
        <f t="shared" si="7"/>
        <v>#DIV/0!</v>
      </c>
      <c r="BJ158" s="44">
        <f t="shared" si="8"/>
        <v>0</v>
      </c>
      <c r="BK158" s="42">
        <f t="shared" si="9"/>
        <v>0</v>
      </c>
      <c r="BL158" s="28"/>
      <c r="BM158" s="28"/>
      <c r="BN158" s="28"/>
      <c r="BO158" s="28"/>
    </row>
    <row r="159">
      <c r="A159" s="14">
        <f t="shared" si="2"/>
        <v>156</v>
      </c>
      <c r="B159" s="79">
        <f t="shared" si="3"/>
        <v>45962</v>
      </c>
      <c r="C159" s="48">
        <v>45964.0</v>
      </c>
      <c r="D159" s="57">
        <f t="shared" si="4"/>
        <v>45964</v>
      </c>
      <c r="E159" s="59" t="s">
        <v>121</v>
      </c>
      <c r="F159" s="59" t="s">
        <v>121</v>
      </c>
      <c r="G159" s="59" t="s">
        <v>121</v>
      </c>
      <c r="H159" s="59" t="s">
        <v>121</v>
      </c>
      <c r="I159" s="59" t="s">
        <v>120</v>
      </c>
      <c r="J159" s="59" t="s">
        <v>120</v>
      </c>
      <c r="K159" s="59" t="s">
        <v>120</v>
      </c>
      <c r="L159" s="59" t="s">
        <v>121</v>
      </c>
      <c r="M159" s="59" t="s">
        <v>120</v>
      </c>
      <c r="N159" s="59" t="s">
        <v>120</v>
      </c>
      <c r="O159" s="59" t="s">
        <v>120</v>
      </c>
      <c r="P159" s="59" t="s">
        <v>120</v>
      </c>
      <c r="Q159" s="59" t="s">
        <v>120</v>
      </c>
      <c r="R159" s="59" t="s">
        <v>120</v>
      </c>
      <c r="S159" s="59" t="s">
        <v>120</v>
      </c>
      <c r="T159" s="59" t="s">
        <v>120</v>
      </c>
      <c r="U159" s="59" t="s">
        <v>120</v>
      </c>
      <c r="V159" s="59" t="s">
        <v>120</v>
      </c>
      <c r="W159" s="59" t="s">
        <v>120</v>
      </c>
      <c r="X159" s="59" t="s">
        <v>121</v>
      </c>
      <c r="Y159" s="59" t="s">
        <v>120</v>
      </c>
      <c r="Z159" s="59" t="s">
        <v>120</v>
      </c>
      <c r="AA159" s="59" t="s">
        <v>120</v>
      </c>
      <c r="AB159" s="59" t="s">
        <v>92</v>
      </c>
      <c r="AC159" s="59" t="s">
        <v>121</v>
      </c>
      <c r="AD159" s="59" t="s">
        <v>121</v>
      </c>
      <c r="AE159" s="59" t="s">
        <v>120</v>
      </c>
      <c r="AF159" s="73"/>
      <c r="AG159" s="73"/>
      <c r="AH159" s="59" t="s">
        <v>120</v>
      </c>
      <c r="AI159" s="59"/>
      <c r="AJ159" s="59"/>
      <c r="AK159" s="59"/>
      <c r="AL159" s="59"/>
      <c r="AM159" s="59"/>
      <c r="AN159" s="59"/>
      <c r="AO159" s="59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28"/>
      <c r="BE159" s="28"/>
      <c r="BF159" s="28"/>
      <c r="BG159" s="56">
        <f t="shared" si="5"/>
        <v>28</v>
      </c>
      <c r="BH159" s="42">
        <f t="shared" si="6"/>
        <v>19</v>
      </c>
      <c r="BI159" s="43">
        <f t="shared" si="7"/>
        <v>0.6785714286</v>
      </c>
      <c r="BJ159" s="44">
        <f t="shared" si="8"/>
        <v>8</v>
      </c>
      <c r="BK159" s="42">
        <f t="shared" si="9"/>
        <v>1</v>
      </c>
      <c r="BL159" s="28"/>
      <c r="BM159" s="28"/>
      <c r="BN159" s="28"/>
      <c r="BO159" s="28"/>
    </row>
    <row r="160">
      <c r="A160" s="14">
        <f t="shared" si="2"/>
        <v>157</v>
      </c>
      <c r="B160" s="79">
        <f t="shared" si="3"/>
        <v>45962</v>
      </c>
      <c r="C160" s="48">
        <v>45965.0</v>
      </c>
      <c r="D160" s="57">
        <f t="shared" si="4"/>
        <v>45965</v>
      </c>
      <c r="E160" s="59" t="s">
        <v>121</v>
      </c>
      <c r="F160" s="59" t="s">
        <v>121</v>
      </c>
      <c r="G160" s="59" t="s">
        <v>121</v>
      </c>
      <c r="H160" s="59" t="s">
        <v>121</v>
      </c>
      <c r="I160" s="59" t="s">
        <v>120</v>
      </c>
      <c r="J160" s="59" t="s">
        <v>120</v>
      </c>
      <c r="K160" s="59" t="s">
        <v>120</v>
      </c>
      <c r="L160" s="59" t="s">
        <v>120</v>
      </c>
      <c r="M160" s="59" t="s">
        <v>120</v>
      </c>
      <c r="N160" s="59" t="s">
        <v>120</v>
      </c>
      <c r="O160" s="59" t="s">
        <v>120</v>
      </c>
      <c r="P160" s="59" t="s">
        <v>120</v>
      </c>
      <c r="Q160" s="59" t="s">
        <v>120</v>
      </c>
      <c r="R160" s="59" t="s">
        <v>120</v>
      </c>
      <c r="S160" s="59" t="s">
        <v>121</v>
      </c>
      <c r="T160" s="59" t="s">
        <v>120</v>
      </c>
      <c r="U160" s="59" t="s">
        <v>121</v>
      </c>
      <c r="V160" s="59" t="s">
        <v>120</v>
      </c>
      <c r="W160" s="59" t="s">
        <v>120</v>
      </c>
      <c r="X160" s="59" t="s">
        <v>121</v>
      </c>
      <c r="Y160" s="59" t="s">
        <v>120</v>
      </c>
      <c r="Z160" s="59" t="s">
        <v>121</v>
      </c>
      <c r="AA160" s="59" t="s">
        <v>120</v>
      </c>
      <c r="AB160" s="59" t="s">
        <v>92</v>
      </c>
      <c r="AC160" s="59" t="s">
        <v>121</v>
      </c>
      <c r="AD160" s="59" t="s">
        <v>120</v>
      </c>
      <c r="AE160" s="59" t="s">
        <v>120</v>
      </c>
      <c r="AF160" s="73"/>
      <c r="AG160" s="73"/>
      <c r="AH160" s="59" t="s">
        <v>120</v>
      </c>
      <c r="AI160" s="59"/>
      <c r="AJ160" s="59"/>
      <c r="AK160" s="59"/>
      <c r="AL160" s="59"/>
      <c r="AM160" s="59"/>
      <c r="AN160" s="59"/>
      <c r="AO160" s="59"/>
      <c r="AP160" s="58"/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8"/>
      <c r="BB160" s="58"/>
      <c r="BC160" s="58"/>
      <c r="BD160" s="28"/>
      <c r="BE160" s="28"/>
      <c r="BF160" s="28"/>
      <c r="BG160" s="56">
        <f t="shared" si="5"/>
        <v>28</v>
      </c>
      <c r="BH160" s="42">
        <f t="shared" si="6"/>
        <v>18</v>
      </c>
      <c r="BI160" s="43">
        <f t="shared" si="7"/>
        <v>0.6428571429</v>
      </c>
      <c r="BJ160" s="44">
        <f t="shared" si="8"/>
        <v>9</v>
      </c>
      <c r="BK160" s="42">
        <f t="shared" si="9"/>
        <v>1</v>
      </c>
      <c r="BL160" s="28"/>
      <c r="BM160" s="28"/>
      <c r="BN160" s="28"/>
      <c r="BO160" s="28"/>
    </row>
    <row r="161">
      <c r="A161" s="14">
        <f t="shared" si="2"/>
        <v>158</v>
      </c>
      <c r="B161" s="79">
        <f t="shared" si="3"/>
        <v>45962</v>
      </c>
      <c r="C161" s="48">
        <v>45966.0</v>
      </c>
      <c r="D161" s="57">
        <f t="shared" si="4"/>
        <v>45966</v>
      </c>
      <c r="E161" s="59" t="s">
        <v>121</v>
      </c>
      <c r="F161" s="59" t="s">
        <v>121</v>
      </c>
      <c r="G161" s="59" t="s">
        <v>121</v>
      </c>
      <c r="H161" s="59" t="s">
        <v>120</v>
      </c>
      <c r="I161" s="59" t="s">
        <v>120</v>
      </c>
      <c r="J161" s="59" t="s">
        <v>120</v>
      </c>
      <c r="K161" s="59" t="s">
        <v>120</v>
      </c>
      <c r="L161" s="59" t="s">
        <v>120</v>
      </c>
      <c r="M161" s="59" t="s">
        <v>120</v>
      </c>
      <c r="N161" s="59" t="s">
        <v>120</v>
      </c>
      <c r="O161" s="59" t="s">
        <v>120</v>
      </c>
      <c r="P161" s="59" t="s">
        <v>120</v>
      </c>
      <c r="Q161" s="59" t="s">
        <v>120</v>
      </c>
      <c r="R161" s="59" t="s">
        <v>120</v>
      </c>
      <c r="S161" s="59" t="s">
        <v>120</v>
      </c>
      <c r="T161" s="59" t="s">
        <v>120</v>
      </c>
      <c r="U161" s="59" t="s">
        <v>120</v>
      </c>
      <c r="V161" s="59" t="s">
        <v>120</v>
      </c>
      <c r="W161" s="59" t="s">
        <v>120</v>
      </c>
      <c r="X161" s="59" t="s">
        <v>120</v>
      </c>
      <c r="Y161" s="59" t="s">
        <v>120</v>
      </c>
      <c r="Z161" s="59" t="s">
        <v>121</v>
      </c>
      <c r="AA161" s="59" t="s">
        <v>120</v>
      </c>
      <c r="AB161" s="59" t="s">
        <v>92</v>
      </c>
      <c r="AC161" s="59" t="s">
        <v>120</v>
      </c>
      <c r="AD161" s="59" t="s">
        <v>120</v>
      </c>
      <c r="AE161" s="59" t="s">
        <v>120</v>
      </c>
      <c r="AF161" s="73"/>
      <c r="AG161" s="73"/>
      <c r="AH161" s="59" t="s">
        <v>120</v>
      </c>
      <c r="AI161" s="59"/>
      <c r="AJ161" s="59"/>
      <c r="AK161" s="59"/>
      <c r="AL161" s="59"/>
      <c r="AM161" s="59"/>
      <c r="AN161" s="59"/>
      <c r="AO161" s="59"/>
      <c r="AP161" s="58"/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  <c r="BD161" s="28"/>
      <c r="BE161" s="28"/>
      <c r="BF161" s="28"/>
      <c r="BG161" s="56">
        <f t="shared" si="5"/>
        <v>28</v>
      </c>
      <c r="BH161" s="42">
        <f t="shared" si="6"/>
        <v>23</v>
      </c>
      <c r="BI161" s="43">
        <f t="shared" si="7"/>
        <v>0.8214285714</v>
      </c>
      <c r="BJ161" s="44">
        <f t="shared" si="8"/>
        <v>4</v>
      </c>
      <c r="BK161" s="42">
        <f t="shared" si="9"/>
        <v>1</v>
      </c>
      <c r="BL161" s="28"/>
      <c r="BM161" s="28"/>
      <c r="BN161" s="28"/>
      <c r="BO161" s="28"/>
    </row>
    <row r="162">
      <c r="A162" s="14">
        <f t="shared" si="2"/>
        <v>159</v>
      </c>
      <c r="B162" s="79">
        <f t="shared" si="3"/>
        <v>45962</v>
      </c>
      <c r="C162" s="48">
        <v>45967.0</v>
      </c>
      <c r="D162" s="57">
        <f t="shared" si="4"/>
        <v>45967</v>
      </c>
      <c r="E162" s="59" t="s">
        <v>121</v>
      </c>
      <c r="F162" s="59" t="s">
        <v>120</v>
      </c>
      <c r="G162" s="59" t="s">
        <v>120</v>
      </c>
      <c r="H162" s="59" t="s">
        <v>120</v>
      </c>
      <c r="I162" s="59" t="s">
        <v>120</v>
      </c>
      <c r="J162" s="59" t="s">
        <v>120</v>
      </c>
      <c r="K162" s="59" t="s">
        <v>120</v>
      </c>
      <c r="L162" s="59" t="s">
        <v>120</v>
      </c>
      <c r="M162" s="59" t="s">
        <v>120</v>
      </c>
      <c r="N162" s="59" t="s">
        <v>120</v>
      </c>
      <c r="O162" s="59" t="s">
        <v>120</v>
      </c>
      <c r="P162" s="59" t="s">
        <v>120</v>
      </c>
      <c r="Q162" s="59" t="s">
        <v>120</v>
      </c>
      <c r="R162" s="59" t="s">
        <v>120</v>
      </c>
      <c r="S162" s="59" t="s">
        <v>120</v>
      </c>
      <c r="T162" s="59" t="s">
        <v>120</v>
      </c>
      <c r="U162" s="59" t="s">
        <v>120</v>
      </c>
      <c r="V162" s="59" t="s">
        <v>120</v>
      </c>
      <c r="W162" s="59" t="s">
        <v>120</v>
      </c>
      <c r="X162" s="59" t="s">
        <v>120</v>
      </c>
      <c r="Y162" s="59" t="s">
        <v>120</v>
      </c>
      <c r="Z162" s="59" t="s">
        <v>120</v>
      </c>
      <c r="AA162" s="59" t="s">
        <v>120</v>
      </c>
      <c r="AB162" s="59" t="s">
        <v>92</v>
      </c>
      <c r="AC162" s="59" t="s">
        <v>121</v>
      </c>
      <c r="AD162" s="59" t="s">
        <v>120</v>
      </c>
      <c r="AE162" s="59" t="s">
        <v>120</v>
      </c>
      <c r="AF162" s="73"/>
      <c r="AG162" s="73"/>
      <c r="AH162" s="59" t="s">
        <v>120</v>
      </c>
      <c r="AI162" s="59"/>
      <c r="AJ162" s="59"/>
      <c r="AK162" s="59"/>
      <c r="AL162" s="59"/>
      <c r="AM162" s="59"/>
      <c r="AN162" s="59"/>
      <c r="AO162" s="59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28"/>
      <c r="BE162" s="28"/>
      <c r="BF162" s="28"/>
      <c r="BG162" s="56">
        <f t="shared" si="5"/>
        <v>28</v>
      </c>
      <c r="BH162" s="42">
        <f t="shared" si="6"/>
        <v>25</v>
      </c>
      <c r="BI162" s="43">
        <f t="shared" si="7"/>
        <v>0.8928571429</v>
      </c>
      <c r="BJ162" s="44">
        <f t="shared" si="8"/>
        <v>2</v>
      </c>
      <c r="BK162" s="42">
        <f t="shared" si="9"/>
        <v>1</v>
      </c>
      <c r="BL162" s="28"/>
      <c r="BM162" s="28"/>
      <c r="BN162" s="28"/>
      <c r="BO162" s="28"/>
    </row>
    <row r="163">
      <c r="A163" s="14">
        <f t="shared" si="2"/>
        <v>160</v>
      </c>
      <c r="B163" s="79">
        <f t="shared" si="3"/>
        <v>45962</v>
      </c>
      <c r="C163" s="48">
        <v>45968.0</v>
      </c>
      <c r="D163" s="57">
        <f t="shared" si="4"/>
        <v>45968</v>
      </c>
      <c r="E163" s="59" t="s">
        <v>121</v>
      </c>
      <c r="F163" s="59" t="s">
        <v>120</v>
      </c>
      <c r="G163" s="59" t="s">
        <v>120</v>
      </c>
      <c r="H163" s="59" t="s">
        <v>120</v>
      </c>
      <c r="I163" s="59" t="s">
        <v>120</v>
      </c>
      <c r="J163" s="59" t="s">
        <v>120</v>
      </c>
      <c r="K163" s="59" t="s">
        <v>120</v>
      </c>
      <c r="L163" s="59" t="s">
        <v>120</v>
      </c>
      <c r="M163" s="59" t="s">
        <v>121</v>
      </c>
      <c r="N163" s="59" t="s">
        <v>120</v>
      </c>
      <c r="O163" s="59" t="s">
        <v>120</v>
      </c>
      <c r="P163" s="59" t="s">
        <v>120</v>
      </c>
      <c r="Q163" s="59" t="s">
        <v>120</v>
      </c>
      <c r="R163" s="59" t="s">
        <v>120</v>
      </c>
      <c r="S163" s="59" t="s">
        <v>120</v>
      </c>
      <c r="T163" s="59" t="s">
        <v>121</v>
      </c>
      <c r="U163" s="59" t="s">
        <v>120</v>
      </c>
      <c r="V163" s="59" t="s">
        <v>120</v>
      </c>
      <c r="W163" s="59" t="s">
        <v>120</v>
      </c>
      <c r="X163" s="59" t="s">
        <v>120</v>
      </c>
      <c r="Y163" s="59" t="s">
        <v>121</v>
      </c>
      <c r="Z163" s="59" t="s">
        <v>120</v>
      </c>
      <c r="AA163" s="59" t="s">
        <v>120</v>
      </c>
      <c r="AB163" s="59" t="s">
        <v>92</v>
      </c>
      <c r="AC163" s="59" t="s">
        <v>120</v>
      </c>
      <c r="AD163" s="59" t="s">
        <v>120</v>
      </c>
      <c r="AE163" s="59" t="s">
        <v>120</v>
      </c>
      <c r="AF163" s="73"/>
      <c r="AG163" s="73"/>
      <c r="AH163" s="59" t="s">
        <v>120</v>
      </c>
      <c r="AI163" s="59"/>
      <c r="AJ163" s="59"/>
      <c r="AK163" s="59"/>
      <c r="AL163" s="59"/>
      <c r="AM163" s="59"/>
      <c r="AN163" s="59"/>
      <c r="AO163" s="59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28"/>
      <c r="BE163" s="28"/>
      <c r="BF163" s="28"/>
      <c r="BG163" s="56">
        <f t="shared" si="5"/>
        <v>28</v>
      </c>
      <c r="BH163" s="42">
        <f t="shared" si="6"/>
        <v>23</v>
      </c>
      <c r="BI163" s="43">
        <f t="shared" si="7"/>
        <v>0.8214285714</v>
      </c>
      <c r="BJ163" s="44">
        <f t="shared" si="8"/>
        <v>4</v>
      </c>
      <c r="BK163" s="42">
        <f t="shared" si="9"/>
        <v>1</v>
      </c>
      <c r="BL163" s="28"/>
      <c r="BM163" s="28"/>
      <c r="BN163" s="28"/>
      <c r="BO163" s="28"/>
    </row>
    <row r="164">
      <c r="A164" s="14">
        <f t="shared" si="2"/>
        <v>161</v>
      </c>
      <c r="B164" s="79">
        <f t="shared" si="3"/>
        <v>45962</v>
      </c>
      <c r="C164" s="48">
        <v>45969.0</v>
      </c>
      <c r="D164" s="57">
        <f t="shared" si="4"/>
        <v>45969</v>
      </c>
      <c r="E164" s="59" t="s">
        <v>120</v>
      </c>
      <c r="F164" s="59" t="s">
        <v>120</v>
      </c>
      <c r="G164" s="59" t="s">
        <v>120</v>
      </c>
      <c r="H164" s="59" t="s">
        <v>121</v>
      </c>
      <c r="I164" s="59" t="s">
        <v>120</v>
      </c>
      <c r="J164" s="59" t="s">
        <v>120</v>
      </c>
      <c r="K164" s="59" t="s">
        <v>120</v>
      </c>
      <c r="L164" s="59" t="s">
        <v>120</v>
      </c>
      <c r="M164" s="59" t="s">
        <v>120</v>
      </c>
      <c r="N164" s="59" t="s">
        <v>120</v>
      </c>
      <c r="O164" s="59" t="s">
        <v>120</v>
      </c>
      <c r="P164" s="59" t="s">
        <v>120</v>
      </c>
      <c r="Q164" s="59" t="s">
        <v>120</v>
      </c>
      <c r="R164" s="59" t="s">
        <v>120</v>
      </c>
      <c r="S164" s="59" t="s">
        <v>120</v>
      </c>
      <c r="T164" s="59" t="s">
        <v>121</v>
      </c>
      <c r="U164" s="59" t="s">
        <v>120</v>
      </c>
      <c r="V164" s="59" t="s">
        <v>120</v>
      </c>
      <c r="W164" s="59" t="s">
        <v>120</v>
      </c>
      <c r="X164" s="59" t="s">
        <v>120</v>
      </c>
      <c r="Y164" s="59" t="s">
        <v>121</v>
      </c>
      <c r="Z164" s="59" t="s">
        <v>120</v>
      </c>
      <c r="AA164" s="59" t="s">
        <v>120</v>
      </c>
      <c r="AB164" s="59" t="s">
        <v>92</v>
      </c>
      <c r="AC164" s="59" t="s">
        <v>120</v>
      </c>
      <c r="AD164" s="59" t="s">
        <v>120</v>
      </c>
      <c r="AE164" s="59" t="s">
        <v>120</v>
      </c>
      <c r="AF164" s="73"/>
      <c r="AG164" s="73"/>
      <c r="AH164" s="59" t="s">
        <v>121</v>
      </c>
      <c r="AI164" s="59"/>
      <c r="AJ164" s="59"/>
      <c r="AK164" s="59"/>
      <c r="AL164" s="59"/>
      <c r="AM164" s="59"/>
      <c r="AN164" s="59"/>
      <c r="AO164" s="59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28"/>
      <c r="BE164" s="28"/>
      <c r="BF164" s="28"/>
      <c r="BG164" s="56">
        <f t="shared" si="5"/>
        <v>28</v>
      </c>
      <c r="BH164" s="42">
        <f t="shared" si="6"/>
        <v>23</v>
      </c>
      <c r="BI164" s="43">
        <f t="shared" si="7"/>
        <v>0.8214285714</v>
      </c>
      <c r="BJ164" s="44">
        <f t="shared" si="8"/>
        <v>4</v>
      </c>
      <c r="BK164" s="42">
        <f t="shared" si="9"/>
        <v>1</v>
      </c>
      <c r="BL164" s="28"/>
      <c r="BM164" s="28"/>
      <c r="BN164" s="28"/>
      <c r="BO164" s="28"/>
    </row>
    <row r="165">
      <c r="A165" s="14">
        <f t="shared" si="2"/>
        <v>162</v>
      </c>
      <c r="B165" s="79">
        <f t="shared" si="3"/>
        <v>45962</v>
      </c>
      <c r="C165" s="48">
        <v>45970.0</v>
      </c>
      <c r="D165" s="49">
        <f t="shared" si="4"/>
        <v>45970</v>
      </c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78"/>
      <c r="BE165" s="78"/>
      <c r="BF165" s="78"/>
      <c r="BG165" s="56">
        <f t="shared" si="5"/>
        <v>0</v>
      </c>
      <c r="BH165" s="42">
        <f t="shared" si="6"/>
        <v>0</v>
      </c>
      <c r="BI165" s="43" t="str">
        <f t="shared" si="7"/>
        <v>#DIV/0!</v>
      </c>
      <c r="BJ165" s="44">
        <f t="shared" si="8"/>
        <v>0</v>
      </c>
      <c r="BK165" s="42">
        <f t="shared" si="9"/>
        <v>0</v>
      </c>
      <c r="BL165" s="28"/>
      <c r="BM165" s="28"/>
      <c r="BN165" s="28"/>
      <c r="BO165" s="28"/>
    </row>
    <row r="166">
      <c r="A166" s="14">
        <f t="shared" si="2"/>
        <v>163</v>
      </c>
      <c r="B166" s="79">
        <f t="shared" si="3"/>
        <v>45962</v>
      </c>
      <c r="C166" s="48">
        <v>45971.0</v>
      </c>
      <c r="D166" s="57">
        <f t="shared" si="4"/>
        <v>45971</v>
      </c>
      <c r="E166" s="59" t="s">
        <v>121</v>
      </c>
      <c r="F166" s="59" t="s">
        <v>120</v>
      </c>
      <c r="G166" s="59" t="s">
        <v>120</v>
      </c>
      <c r="H166" s="59" t="s">
        <v>121</v>
      </c>
      <c r="I166" s="59" t="s">
        <v>120</v>
      </c>
      <c r="J166" s="59" t="s">
        <v>121</v>
      </c>
      <c r="K166" s="59" t="s">
        <v>120</v>
      </c>
      <c r="L166" s="59" t="s">
        <v>120</v>
      </c>
      <c r="M166" s="59" t="s">
        <v>120</v>
      </c>
      <c r="N166" s="59" t="s">
        <v>120</v>
      </c>
      <c r="O166" s="59" t="s">
        <v>120</v>
      </c>
      <c r="P166" s="59" t="s">
        <v>120</v>
      </c>
      <c r="Q166" s="59" t="s">
        <v>120</v>
      </c>
      <c r="R166" s="59" t="s">
        <v>120</v>
      </c>
      <c r="S166" s="59" t="s">
        <v>120</v>
      </c>
      <c r="T166" s="59" t="s">
        <v>121</v>
      </c>
      <c r="U166" s="59" t="s">
        <v>120</v>
      </c>
      <c r="V166" s="59" t="s">
        <v>120</v>
      </c>
      <c r="W166" s="59" t="s">
        <v>121</v>
      </c>
      <c r="X166" s="59" t="s">
        <v>120</v>
      </c>
      <c r="Y166" s="59" t="s">
        <v>121</v>
      </c>
      <c r="Z166" s="59" t="s">
        <v>120</v>
      </c>
      <c r="AA166" s="59" t="s">
        <v>120</v>
      </c>
      <c r="AB166" s="59" t="s">
        <v>92</v>
      </c>
      <c r="AC166" s="59" t="s">
        <v>120</v>
      </c>
      <c r="AD166" s="59" t="s">
        <v>120</v>
      </c>
      <c r="AE166" s="59" t="s">
        <v>120</v>
      </c>
      <c r="AF166" s="73"/>
      <c r="AG166" s="73"/>
      <c r="AH166" s="59" t="s">
        <v>120</v>
      </c>
      <c r="AI166" s="59"/>
      <c r="AJ166" s="59"/>
      <c r="AK166" s="59"/>
      <c r="AL166" s="59"/>
      <c r="AM166" s="59"/>
      <c r="AN166" s="59"/>
      <c r="AO166" s="59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28"/>
      <c r="BE166" s="28"/>
      <c r="BF166" s="28"/>
      <c r="BG166" s="56">
        <f t="shared" si="5"/>
        <v>28</v>
      </c>
      <c r="BH166" s="42">
        <f t="shared" si="6"/>
        <v>21</v>
      </c>
      <c r="BI166" s="43">
        <f t="shared" si="7"/>
        <v>0.75</v>
      </c>
      <c r="BJ166" s="44">
        <f t="shared" si="8"/>
        <v>6</v>
      </c>
      <c r="BK166" s="42">
        <f t="shared" si="9"/>
        <v>1</v>
      </c>
      <c r="BL166" s="28"/>
      <c r="BM166" s="28"/>
      <c r="BN166" s="28"/>
      <c r="BO166" s="28"/>
    </row>
    <row r="167">
      <c r="A167" s="14">
        <f t="shared" si="2"/>
        <v>164</v>
      </c>
      <c r="B167" s="79">
        <f t="shared" si="3"/>
        <v>45962</v>
      </c>
      <c r="C167" s="48">
        <v>45972.0</v>
      </c>
      <c r="D167" s="57">
        <f t="shared" si="4"/>
        <v>45972</v>
      </c>
      <c r="E167" s="59" t="s">
        <v>121</v>
      </c>
      <c r="F167" s="59" t="s">
        <v>120</v>
      </c>
      <c r="G167" s="59" t="s">
        <v>120</v>
      </c>
      <c r="H167" s="59" t="s">
        <v>120</v>
      </c>
      <c r="I167" s="59" t="s">
        <v>120</v>
      </c>
      <c r="J167" s="59" t="s">
        <v>120</v>
      </c>
      <c r="K167" s="59" t="s">
        <v>120</v>
      </c>
      <c r="L167" s="59" t="s">
        <v>120</v>
      </c>
      <c r="M167" s="59" t="s">
        <v>120</v>
      </c>
      <c r="N167" s="59" t="s">
        <v>120</v>
      </c>
      <c r="O167" s="59" t="s">
        <v>120</v>
      </c>
      <c r="P167" s="59" t="s">
        <v>120</v>
      </c>
      <c r="Q167" s="59" t="s">
        <v>120</v>
      </c>
      <c r="R167" s="59" t="s">
        <v>120</v>
      </c>
      <c r="S167" s="59" t="s">
        <v>121</v>
      </c>
      <c r="T167" s="59" t="s">
        <v>121</v>
      </c>
      <c r="U167" s="59" t="s">
        <v>121</v>
      </c>
      <c r="V167" s="59" t="s">
        <v>120</v>
      </c>
      <c r="W167" s="59" t="s">
        <v>120</v>
      </c>
      <c r="X167" s="59" t="s">
        <v>120</v>
      </c>
      <c r="Y167" s="59" t="s">
        <v>121</v>
      </c>
      <c r="Z167" s="59" t="s">
        <v>121</v>
      </c>
      <c r="AA167" s="59" t="s">
        <v>120</v>
      </c>
      <c r="AB167" s="59" t="s">
        <v>92</v>
      </c>
      <c r="AC167" s="59" t="s">
        <v>121</v>
      </c>
      <c r="AD167" s="59" t="s">
        <v>120</v>
      </c>
      <c r="AE167" s="59" t="s">
        <v>120</v>
      </c>
      <c r="AF167" s="73"/>
      <c r="AG167" s="73"/>
      <c r="AH167" s="59" t="s">
        <v>120</v>
      </c>
      <c r="AI167" s="59"/>
      <c r="AJ167" s="59"/>
      <c r="AK167" s="59"/>
      <c r="AL167" s="59"/>
      <c r="AM167" s="59"/>
      <c r="AN167" s="59"/>
      <c r="AO167" s="59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28"/>
      <c r="BE167" s="28"/>
      <c r="BF167" s="28"/>
      <c r="BG167" s="56">
        <f t="shared" si="5"/>
        <v>28</v>
      </c>
      <c r="BH167" s="42">
        <f t="shared" si="6"/>
        <v>20</v>
      </c>
      <c r="BI167" s="43">
        <f t="shared" si="7"/>
        <v>0.7142857143</v>
      </c>
      <c r="BJ167" s="44">
        <f t="shared" si="8"/>
        <v>7</v>
      </c>
      <c r="BK167" s="42">
        <f t="shared" si="9"/>
        <v>1</v>
      </c>
      <c r="BL167" s="28"/>
      <c r="BM167" s="28"/>
      <c r="BN167" s="28"/>
      <c r="BO167" s="28"/>
    </row>
    <row r="168">
      <c r="A168" s="14">
        <f t="shared" si="2"/>
        <v>165</v>
      </c>
      <c r="B168" s="79">
        <f t="shared" si="3"/>
        <v>45962</v>
      </c>
      <c r="C168" s="48">
        <v>45973.0</v>
      </c>
      <c r="D168" s="57">
        <f t="shared" si="4"/>
        <v>45973</v>
      </c>
      <c r="E168" s="59" t="s">
        <v>121</v>
      </c>
      <c r="F168" s="59" t="s">
        <v>120</v>
      </c>
      <c r="G168" s="59" t="s">
        <v>120</v>
      </c>
      <c r="H168" s="59" t="s">
        <v>120</v>
      </c>
      <c r="I168" s="59" t="s">
        <v>120</v>
      </c>
      <c r="J168" s="59" t="s">
        <v>120</v>
      </c>
      <c r="K168" s="59" t="s">
        <v>120</v>
      </c>
      <c r="L168" s="59" t="s">
        <v>120</v>
      </c>
      <c r="M168" s="59" t="s">
        <v>120</v>
      </c>
      <c r="N168" s="59" t="s">
        <v>120</v>
      </c>
      <c r="O168" s="59" t="s">
        <v>120</v>
      </c>
      <c r="P168" s="59" t="s">
        <v>120</v>
      </c>
      <c r="Q168" s="59" t="s">
        <v>120</v>
      </c>
      <c r="R168" s="59" t="s">
        <v>120</v>
      </c>
      <c r="S168" s="59" t="s">
        <v>120</v>
      </c>
      <c r="T168" s="59" t="s">
        <v>121</v>
      </c>
      <c r="U168" s="59" t="s">
        <v>120</v>
      </c>
      <c r="V168" s="59" t="s">
        <v>120</v>
      </c>
      <c r="W168" s="59" t="s">
        <v>120</v>
      </c>
      <c r="X168" s="59" t="s">
        <v>120</v>
      </c>
      <c r="Y168" s="59" t="s">
        <v>121</v>
      </c>
      <c r="Z168" s="59" t="s">
        <v>120</v>
      </c>
      <c r="AA168" s="59" t="s">
        <v>120</v>
      </c>
      <c r="AB168" s="59" t="s">
        <v>92</v>
      </c>
      <c r="AC168" s="59" t="s">
        <v>121</v>
      </c>
      <c r="AD168" s="59" t="s">
        <v>120</v>
      </c>
      <c r="AE168" s="59" t="s">
        <v>120</v>
      </c>
      <c r="AF168" s="80"/>
      <c r="AG168" s="80"/>
      <c r="AH168" s="59" t="s">
        <v>120</v>
      </c>
      <c r="AI168" s="60"/>
      <c r="AJ168" s="60"/>
      <c r="AK168" s="60"/>
      <c r="AL168" s="60"/>
      <c r="AM168" s="60"/>
      <c r="AN168" s="60"/>
      <c r="AO168" s="60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28"/>
      <c r="BE168" s="28"/>
      <c r="BF168" s="28"/>
      <c r="BG168" s="56">
        <f t="shared" si="5"/>
        <v>28</v>
      </c>
      <c r="BH168" s="42">
        <f t="shared" si="6"/>
        <v>23</v>
      </c>
      <c r="BI168" s="43">
        <f t="shared" si="7"/>
        <v>0.8214285714</v>
      </c>
      <c r="BJ168" s="44">
        <f t="shared" si="8"/>
        <v>4</v>
      </c>
      <c r="BK168" s="42">
        <f t="shared" si="9"/>
        <v>1</v>
      </c>
      <c r="BL168" s="28"/>
      <c r="BM168" s="28"/>
      <c r="BN168" s="28"/>
      <c r="BO168" s="28"/>
    </row>
    <row r="169">
      <c r="A169" s="14">
        <f t="shared" si="2"/>
        <v>166</v>
      </c>
      <c r="B169" s="79">
        <f t="shared" si="3"/>
        <v>45962</v>
      </c>
      <c r="C169" s="48">
        <v>45974.0</v>
      </c>
      <c r="D169" s="57">
        <f t="shared" si="4"/>
        <v>45974</v>
      </c>
      <c r="E169" s="59" t="s">
        <v>120</v>
      </c>
      <c r="F169" s="59" t="s">
        <v>120</v>
      </c>
      <c r="G169" s="59" t="s">
        <v>120</v>
      </c>
      <c r="H169" s="59" t="s">
        <v>120</v>
      </c>
      <c r="I169" s="59" t="s">
        <v>120</v>
      </c>
      <c r="J169" s="59" t="s">
        <v>120</v>
      </c>
      <c r="K169" s="59" t="s">
        <v>120</v>
      </c>
      <c r="L169" s="59" t="s">
        <v>120</v>
      </c>
      <c r="M169" s="59" t="s">
        <v>120</v>
      </c>
      <c r="N169" s="59" t="s">
        <v>120</v>
      </c>
      <c r="O169" s="59" t="s">
        <v>120</v>
      </c>
      <c r="P169" s="59" t="s">
        <v>120</v>
      </c>
      <c r="Q169" s="59" t="s">
        <v>120</v>
      </c>
      <c r="R169" s="59" t="s">
        <v>120</v>
      </c>
      <c r="S169" s="59" t="s">
        <v>120</v>
      </c>
      <c r="T169" s="59" t="s">
        <v>121</v>
      </c>
      <c r="U169" s="59" t="s">
        <v>120</v>
      </c>
      <c r="V169" s="59" t="s">
        <v>121</v>
      </c>
      <c r="W169" s="59" t="s">
        <v>120</v>
      </c>
      <c r="X169" s="59" t="s">
        <v>120</v>
      </c>
      <c r="Y169" s="59" t="s">
        <v>121</v>
      </c>
      <c r="Z169" s="59" t="s">
        <v>120</v>
      </c>
      <c r="AA169" s="59" t="s">
        <v>121</v>
      </c>
      <c r="AB169" s="59" t="s">
        <v>92</v>
      </c>
      <c r="AC169" s="59" t="s">
        <v>121</v>
      </c>
      <c r="AD169" s="59" t="s">
        <v>120</v>
      </c>
      <c r="AE169" s="59" t="s">
        <v>120</v>
      </c>
      <c r="AF169" s="73"/>
      <c r="AG169" s="73"/>
      <c r="AH169" s="59" t="s">
        <v>120</v>
      </c>
      <c r="AI169" s="59"/>
      <c r="AJ169" s="59"/>
      <c r="AK169" s="59"/>
      <c r="AL169" s="59"/>
      <c r="AM169" s="59"/>
      <c r="AN169" s="59"/>
      <c r="AO169" s="59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28"/>
      <c r="BE169" s="28"/>
      <c r="BF169" s="28"/>
      <c r="BG169" s="56">
        <f t="shared" si="5"/>
        <v>28</v>
      </c>
      <c r="BH169" s="42">
        <f t="shared" si="6"/>
        <v>22</v>
      </c>
      <c r="BI169" s="43">
        <f t="shared" si="7"/>
        <v>0.7857142857</v>
      </c>
      <c r="BJ169" s="44">
        <f t="shared" si="8"/>
        <v>5</v>
      </c>
      <c r="BK169" s="42">
        <f t="shared" si="9"/>
        <v>1</v>
      </c>
      <c r="BL169" s="28"/>
      <c r="BM169" s="28"/>
      <c r="BN169" s="28"/>
      <c r="BO169" s="28"/>
    </row>
    <row r="170">
      <c r="A170" s="14">
        <f t="shared" si="2"/>
        <v>167</v>
      </c>
      <c r="B170" s="79">
        <f t="shared" si="3"/>
        <v>45962</v>
      </c>
      <c r="C170" s="48">
        <v>45975.0</v>
      </c>
      <c r="D170" s="57">
        <f t="shared" si="4"/>
        <v>45975</v>
      </c>
      <c r="E170" s="59" t="s">
        <v>121</v>
      </c>
      <c r="F170" s="59" t="s">
        <v>120</v>
      </c>
      <c r="G170" s="59" t="s">
        <v>120</v>
      </c>
      <c r="H170" s="59" t="s">
        <v>120</v>
      </c>
      <c r="I170" s="59" t="s">
        <v>120</v>
      </c>
      <c r="J170" s="59" t="s">
        <v>120</v>
      </c>
      <c r="K170" s="59" t="s">
        <v>120</v>
      </c>
      <c r="L170" s="59" t="s">
        <v>120</v>
      </c>
      <c r="M170" s="59" t="s">
        <v>120</v>
      </c>
      <c r="N170" s="59" t="s">
        <v>120</v>
      </c>
      <c r="O170" s="59" t="s">
        <v>120</v>
      </c>
      <c r="P170" s="59" t="s">
        <v>120</v>
      </c>
      <c r="Q170" s="59" t="s">
        <v>120</v>
      </c>
      <c r="R170" s="59" t="s">
        <v>120</v>
      </c>
      <c r="S170" s="59" t="s">
        <v>120</v>
      </c>
      <c r="T170" s="59" t="s">
        <v>121</v>
      </c>
      <c r="U170" s="59" t="s">
        <v>120</v>
      </c>
      <c r="V170" s="59" t="s">
        <v>120</v>
      </c>
      <c r="W170" s="59" t="s">
        <v>120</v>
      </c>
      <c r="X170" s="59" t="s">
        <v>120</v>
      </c>
      <c r="Y170" s="59" t="s">
        <v>121</v>
      </c>
      <c r="Z170" s="59" t="s">
        <v>120</v>
      </c>
      <c r="AA170" s="59" t="s">
        <v>120</v>
      </c>
      <c r="AB170" s="59" t="s">
        <v>92</v>
      </c>
      <c r="AC170" s="59" t="s">
        <v>120</v>
      </c>
      <c r="AD170" s="59" t="s">
        <v>120</v>
      </c>
      <c r="AE170" s="59" t="s">
        <v>120</v>
      </c>
      <c r="AF170" s="73"/>
      <c r="AG170" s="73"/>
      <c r="AH170" s="59" t="s">
        <v>120</v>
      </c>
      <c r="AI170" s="59"/>
      <c r="AJ170" s="59"/>
      <c r="AK170" s="59"/>
      <c r="AL170" s="59"/>
      <c r="AM170" s="59"/>
      <c r="AN170" s="59"/>
      <c r="AO170" s="59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28"/>
      <c r="BE170" s="28"/>
      <c r="BF170" s="28"/>
      <c r="BG170" s="56">
        <f t="shared" si="5"/>
        <v>28</v>
      </c>
      <c r="BH170" s="42">
        <f t="shared" si="6"/>
        <v>24</v>
      </c>
      <c r="BI170" s="43">
        <f t="shared" si="7"/>
        <v>0.8571428571</v>
      </c>
      <c r="BJ170" s="44">
        <f t="shared" si="8"/>
        <v>3</v>
      </c>
      <c r="BK170" s="42">
        <f t="shared" si="9"/>
        <v>1</v>
      </c>
      <c r="BL170" s="28"/>
      <c r="BM170" s="28"/>
      <c r="BN170" s="28"/>
      <c r="BO170" s="28"/>
    </row>
    <row r="171">
      <c r="A171" s="14">
        <f t="shared" si="2"/>
        <v>168</v>
      </c>
      <c r="B171" s="79">
        <f t="shared" si="3"/>
        <v>45962</v>
      </c>
      <c r="C171" s="48">
        <v>45976.0</v>
      </c>
      <c r="D171" s="57">
        <f t="shared" si="4"/>
        <v>45976</v>
      </c>
      <c r="E171" s="59" t="s">
        <v>121</v>
      </c>
      <c r="F171" s="59" t="s">
        <v>120</v>
      </c>
      <c r="G171" s="59" t="s">
        <v>120</v>
      </c>
      <c r="H171" s="59" t="s">
        <v>120</v>
      </c>
      <c r="I171" s="59" t="s">
        <v>120</v>
      </c>
      <c r="J171" s="59" t="s">
        <v>120</v>
      </c>
      <c r="K171" s="59" t="s">
        <v>120</v>
      </c>
      <c r="L171" s="59" t="s">
        <v>120</v>
      </c>
      <c r="M171" s="59" t="s">
        <v>120</v>
      </c>
      <c r="N171" s="59" t="s">
        <v>120</v>
      </c>
      <c r="O171" s="59" t="s">
        <v>120</v>
      </c>
      <c r="P171" s="59" t="s">
        <v>120</v>
      </c>
      <c r="Q171" s="59" t="s">
        <v>120</v>
      </c>
      <c r="R171" s="59" t="s">
        <v>120</v>
      </c>
      <c r="S171" s="59" t="s">
        <v>120</v>
      </c>
      <c r="T171" s="59" t="s">
        <v>121</v>
      </c>
      <c r="U171" s="59" t="s">
        <v>120</v>
      </c>
      <c r="V171" s="59" t="s">
        <v>120</v>
      </c>
      <c r="W171" s="59" t="s">
        <v>120</v>
      </c>
      <c r="X171" s="59" t="s">
        <v>120</v>
      </c>
      <c r="Y171" s="59" t="s">
        <v>121</v>
      </c>
      <c r="Z171" s="59" t="s">
        <v>120</v>
      </c>
      <c r="AA171" s="59" t="s">
        <v>120</v>
      </c>
      <c r="AB171" s="59" t="s">
        <v>92</v>
      </c>
      <c r="AC171" s="59" t="s">
        <v>120</v>
      </c>
      <c r="AD171" s="59" t="s">
        <v>120</v>
      </c>
      <c r="AE171" s="59" t="s">
        <v>120</v>
      </c>
      <c r="AF171" s="73"/>
      <c r="AG171" s="73"/>
      <c r="AH171" s="59" t="s">
        <v>121</v>
      </c>
      <c r="AI171" s="59"/>
      <c r="AJ171" s="59"/>
      <c r="AK171" s="59"/>
      <c r="AL171" s="59"/>
      <c r="AM171" s="59"/>
      <c r="AN171" s="59"/>
      <c r="AO171" s="59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28"/>
      <c r="BE171" s="28"/>
      <c r="BF171" s="28"/>
      <c r="BG171" s="56">
        <f t="shared" si="5"/>
        <v>28</v>
      </c>
      <c r="BH171" s="42">
        <f t="shared" si="6"/>
        <v>23</v>
      </c>
      <c r="BI171" s="43">
        <f t="shared" si="7"/>
        <v>0.8214285714</v>
      </c>
      <c r="BJ171" s="44">
        <f t="shared" si="8"/>
        <v>4</v>
      </c>
      <c r="BK171" s="42">
        <f t="shared" si="9"/>
        <v>1</v>
      </c>
      <c r="BL171" s="28"/>
      <c r="BM171" s="28"/>
      <c r="BN171" s="28"/>
      <c r="BO171" s="28"/>
    </row>
    <row r="172">
      <c r="A172" s="14">
        <f t="shared" si="2"/>
        <v>169</v>
      </c>
      <c r="B172" s="79">
        <f t="shared" si="3"/>
        <v>45962</v>
      </c>
      <c r="C172" s="48">
        <v>45977.0</v>
      </c>
      <c r="D172" s="49">
        <f t="shared" si="4"/>
        <v>45977</v>
      </c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78"/>
      <c r="BE172" s="78"/>
      <c r="BF172" s="78"/>
      <c r="BG172" s="56">
        <f t="shared" si="5"/>
        <v>0</v>
      </c>
      <c r="BH172" s="42">
        <f t="shared" si="6"/>
        <v>0</v>
      </c>
      <c r="BI172" s="43" t="str">
        <f t="shared" si="7"/>
        <v>#DIV/0!</v>
      </c>
      <c r="BJ172" s="44">
        <f t="shared" si="8"/>
        <v>0</v>
      </c>
      <c r="BK172" s="42">
        <f t="shared" si="9"/>
        <v>0</v>
      </c>
      <c r="BL172" s="28"/>
      <c r="BM172" s="28"/>
      <c r="BN172" s="28"/>
      <c r="BO172" s="28"/>
    </row>
    <row r="173">
      <c r="A173" s="14">
        <f t="shared" si="2"/>
        <v>170</v>
      </c>
      <c r="B173" s="79">
        <f t="shared" si="3"/>
        <v>45962</v>
      </c>
      <c r="C173" s="48">
        <v>45978.0</v>
      </c>
      <c r="D173" s="57">
        <f t="shared" si="4"/>
        <v>45978</v>
      </c>
      <c r="E173" s="58" t="s">
        <v>120</v>
      </c>
      <c r="F173" s="58" t="s">
        <v>120</v>
      </c>
      <c r="G173" s="58" t="s">
        <v>120</v>
      </c>
      <c r="H173" s="58" t="s">
        <v>120</v>
      </c>
      <c r="I173" s="58" t="s">
        <v>120</v>
      </c>
      <c r="J173" s="58" t="s">
        <v>120</v>
      </c>
      <c r="K173" s="58" t="s">
        <v>120</v>
      </c>
      <c r="L173" s="58" t="s">
        <v>121</v>
      </c>
      <c r="M173" s="58" t="s">
        <v>120</v>
      </c>
      <c r="N173" s="58" t="s">
        <v>120</v>
      </c>
      <c r="O173" s="58" t="s">
        <v>120</v>
      </c>
      <c r="P173" s="58" t="s">
        <v>120</v>
      </c>
      <c r="Q173" s="58" t="s">
        <v>120</v>
      </c>
      <c r="R173" s="58" t="s">
        <v>120</v>
      </c>
      <c r="S173" s="58" t="s">
        <v>120</v>
      </c>
      <c r="T173" s="58" t="s">
        <v>121</v>
      </c>
      <c r="U173" s="58" t="s">
        <v>120</v>
      </c>
      <c r="V173" s="58" t="s">
        <v>120</v>
      </c>
      <c r="W173" s="58" t="s">
        <v>120</v>
      </c>
      <c r="X173" s="58" t="s">
        <v>120</v>
      </c>
      <c r="Y173" s="58" t="s">
        <v>121</v>
      </c>
      <c r="Z173" s="58" t="s">
        <v>120</v>
      </c>
      <c r="AA173" s="58" t="s">
        <v>120</v>
      </c>
      <c r="AB173" s="58" t="s">
        <v>92</v>
      </c>
      <c r="AC173" s="58" t="s">
        <v>120</v>
      </c>
      <c r="AD173" s="58" t="s">
        <v>120</v>
      </c>
      <c r="AE173" s="58" t="s">
        <v>120</v>
      </c>
      <c r="AF173" s="81"/>
      <c r="AG173" s="81"/>
      <c r="AH173" s="58" t="s">
        <v>121</v>
      </c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  <c r="BD173" s="28"/>
      <c r="BE173" s="28"/>
      <c r="BF173" s="28"/>
      <c r="BG173" s="56">
        <f t="shared" si="5"/>
        <v>28</v>
      </c>
      <c r="BH173" s="42">
        <f t="shared" si="6"/>
        <v>23</v>
      </c>
      <c r="BI173" s="43">
        <f t="shared" si="7"/>
        <v>0.8214285714</v>
      </c>
      <c r="BJ173" s="44">
        <f t="shared" si="8"/>
        <v>4</v>
      </c>
      <c r="BK173" s="42">
        <f t="shared" si="9"/>
        <v>1</v>
      </c>
      <c r="BL173" s="28"/>
      <c r="BM173" s="28"/>
      <c r="BN173" s="28"/>
      <c r="BO173" s="28"/>
    </row>
    <row r="174">
      <c r="A174" s="14">
        <f t="shared" si="2"/>
        <v>171</v>
      </c>
      <c r="B174" s="79">
        <f t="shared" si="3"/>
        <v>45962</v>
      </c>
      <c r="C174" s="48">
        <v>45979.0</v>
      </c>
      <c r="D174" s="57">
        <f t="shared" si="4"/>
        <v>45979</v>
      </c>
      <c r="E174" s="59" t="s">
        <v>121</v>
      </c>
      <c r="F174" s="58" t="s">
        <v>120</v>
      </c>
      <c r="G174" s="58" t="s">
        <v>120</v>
      </c>
      <c r="H174" s="58" t="s">
        <v>120</v>
      </c>
      <c r="I174" s="58" t="s">
        <v>120</v>
      </c>
      <c r="J174" s="58" t="s">
        <v>120</v>
      </c>
      <c r="K174" s="58" t="s">
        <v>120</v>
      </c>
      <c r="L174" s="58" t="s">
        <v>121</v>
      </c>
      <c r="M174" s="59" t="s">
        <v>120</v>
      </c>
      <c r="N174" s="58" t="s">
        <v>120</v>
      </c>
      <c r="O174" s="58" t="s">
        <v>120</v>
      </c>
      <c r="P174" s="59" t="s">
        <v>121</v>
      </c>
      <c r="Q174" s="58" t="s">
        <v>120</v>
      </c>
      <c r="R174" s="59" t="s">
        <v>120</v>
      </c>
      <c r="S174" s="59" t="s">
        <v>121</v>
      </c>
      <c r="T174" s="58" t="s">
        <v>121</v>
      </c>
      <c r="U174" s="59" t="s">
        <v>121</v>
      </c>
      <c r="V174" s="58" t="s">
        <v>120</v>
      </c>
      <c r="W174" s="58" t="s">
        <v>120</v>
      </c>
      <c r="X174" s="58" t="s">
        <v>120</v>
      </c>
      <c r="Y174" s="58" t="s">
        <v>121</v>
      </c>
      <c r="Z174" s="59" t="s">
        <v>121</v>
      </c>
      <c r="AA174" s="58" t="s">
        <v>120</v>
      </c>
      <c r="AB174" s="58" t="s">
        <v>92</v>
      </c>
      <c r="AC174" s="59" t="s">
        <v>121</v>
      </c>
      <c r="AD174" s="58" t="s">
        <v>120</v>
      </c>
      <c r="AE174" s="58" t="s">
        <v>120</v>
      </c>
      <c r="AF174" s="73"/>
      <c r="AG174" s="73"/>
      <c r="AH174" s="59" t="s">
        <v>120</v>
      </c>
      <c r="AI174" s="59"/>
      <c r="AJ174" s="59"/>
      <c r="AK174" s="59"/>
      <c r="AL174" s="59"/>
      <c r="AM174" s="59"/>
      <c r="AN174" s="59"/>
      <c r="AO174" s="59"/>
      <c r="AP174" s="58"/>
      <c r="AQ174" s="58"/>
      <c r="AR174" s="58"/>
      <c r="AS174" s="58"/>
      <c r="AT174" s="58"/>
      <c r="AU174" s="58"/>
      <c r="AV174" s="58"/>
      <c r="AW174" s="58"/>
      <c r="AX174" s="58"/>
      <c r="AY174" s="58"/>
      <c r="AZ174" s="58"/>
      <c r="BA174" s="58"/>
      <c r="BB174" s="58"/>
      <c r="BC174" s="58"/>
      <c r="BD174" s="28"/>
      <c r="BE174" s="28"/>
      <c r="BF174" s="28"/>
      <c r="BG174" s="56">
        <f t="shared" si="5"/>
        <v>28</v>
      </c>
      <c r="BH174" s="42">
        <f t="shared" si="6"/>
        <v>18</v>
      </c>
      <c r="BI174" s="43">
        <f t="shared" si="7"/>
        <v>0.6428571429</v>
      </c>
      <c r="BJ174" s="44">
        <f t="shared" si="8"/>
        <v>9</v>
      </c>
      <c r="BK174" s="42">
        <f t="shared" si="9"/>
        <v>1</v>
      </c>
      <c r="BL174" s="28"/>
      <c r="BM174" s="28"/>
      <c r="BN174" s="28"/>
      <c r="BO174" s="28"/>
    </row>
    <row r="175">
      <c r="A175" s="14">
        <f t="shared" si="2"/>
        <v>172</v>
      </c>
      <c r="B175" s="79">
        <f t="shared" si="3"/>
        <v>45962</v>
      </c>
      <c r="C175" s="48">
        <v>45980.0</v>
      </c>
      <c r="D175" s="57">
        <f t="shared" si="4"/>
        <v>45980</v>
      </c>
      <c r="E175" s="59" t="s">
        <v>121</v>
      </c>
      <c r="F175" s="58" t="s">
        <v>120</v>
      </c>
      <c r="G175" s="58" t="s">
        <v>120</v>
      </c>
      <c r="H175" s="58" t="s">
        <v>120</v>
      </c>
      <c r="I175" s="58" t="s">
        <v>120</v>
      </c>
      <c r="J175" s="58" t="s">
        <v>120</v>
      </c>
      <c r="K175" s="58" t="s">
        <v>120</v>
      </c>
      <c r="L175" s="58" t="s">
        <v>121</v>
      </c>
      <c r="M175" s="59" t="s">
        <v>121</v>
      </c>
      <c r="N175" s="58" t="s">
        <v>120</v>
      </c>
      <c r="O175" s="58" t="s">
        <v>120</v>
      </c>
      <c r="P175" s="59" t="s">
        <v>120</v>
      </c>
      <c r="Q175" s="58" t="s">
        <v>120</v>
      </c>
      <c r="R175" s="59" t="s">
        <v>121</v>
      </c>
      <c r="S175" s="59" t="s">
        <v>121</v>
      </c>
      <c r="T175" s="58" t="s">
        <v>121</v>
      </c>
      <c r="U175" s="59" t="s">
        <v>121</v>
      </c>
      <c r="V175" s="58" t="s">
        <v>120</v>
      </c>
      <c r="W175" s="58" t="s">
        <v>120</v>
      </c>
      <c r="X175" s="58" t="s">
        <v>120</v>
      </c>
      <c r="Y175" s="58" t="s">
        <v>121</v>
      </c>
      <c r="Z175" s="59" t="s">
        <v>121</v>
      </c>
      <c r="AA175" s="59" t="s">
        <v>120</v>
      </c>
      <c r="AB175" s="58" t="s">
        <v>92</v>
      </c>
      <c r="AC175" s="59" t="s">
        <v>121</v>
      </c>
      <c r="AD175" s="58" t="s">
        <v>120</v>
      </c>
      <c r="AE175" s="58" t="s">
        <v>120</v>
      </c>
      <c r="AF175" s="73"/>
      <c r="AG175" s="73"/>
      <c r="AH175" s="59" t="s">
        <v>120</v>
      </c>
      <c r="AI175" s="59"/>
      <c r="AJ175" s="59"/>
      <c r="AK175" s="59"/>
      <c r="AL175" s="59"/>
      <c r="AM175" s="59"/>
      <c r="AN175" s="59"/>
      <c r="AO175" s="59"/>
      <c r="AP175" s="58"/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8"/>
      <c r="BB175" s="58"/>
      <c r="BC175" s="58"/>
      <c r="BD175" s="28"/>
      <c r="BE175" s="28"/>
      <c r="BF175" s="28"/>
      <c r="BG175" s="56">
        <f t="shared" si="5"/>
        <v>28</v>
      </c>
      <c r="BH175" s="42">
        <f t="shared" si="6"/>
        <v>17</v>
      </c>
      <c r="BI175" s="43">
        <f t="shared" si="7"/>
        <v>0.6071428571</v>
      </c>
      <c r="BJ175" s="44">
        <f t="shared" si="8"/>
        <v>10</v>
      </c>
      <c r="BK175" s="42">
        <f t="shared" si="9"/>
        <v>1</v>
      </c>
      <c r="BL175" s="28"/>
      <c r="BM175" s="28"/>
      <c r="BN175" s="28"/>
      <c r="BO175" s="28"/>
    </row>
    <row r="176">
      <c r="A176" s="14">
        <f t="shared" si="2"/>
        <v>173</v>
      </c>
      <c r="B176" s="79">
        <f t="shared" si="3"/>
        <v>45962</v>
      </c>
      <c r="C176" s="48">
        <v>45981.0</v>
      </c>
      <c r="D176" s="57">
        <f t="shared" si="4"/>
        <v>45981</v>
      </c>
      <c r="E176" s="59" t="s">
        <v>120</v>
      </c>
      <c r="F176" s="58" t="s">
        <v>120</v>
      </c>
      <c r="G176" s="58" t="s">
        <v>120</v>
      </c>
      <c r="H176" s="59" t="s">
        <v>121</v>
      </c>
      <c r="I176" s="58" t="s">
        <v>120</v>
      </c>
      <c r="J176" s="58" t="s">
        <v>120</v>
      </c>
      <c r="K176" s="58" t="s">
        <v>120</v>
      </c>
      <c r="L176" s="58" t="s">
        <v>121</v>
      </c>
      <c r="M176" s="59" t="s">
        <v>120</v>
      </c>
      <c r="N176" s="59" t="s">
        <v>121</v>
      </c>
      <c r="O176" s="58" t="s">
        <v>120</v>
      </c>
      <c r="P176" s="59" t="s">
        <v>120</v>
      </c>
      <c r="Q176" s="58" t="s">
        <v>120</v>
      </c>
      <c r="R176" s="59" t="s">
        <v>120</v>
      </c>
      <c r="S176" s="59" t="s">
        <v>120</v>
      </c>
      <c r="T176" s="58" t="s">
        <v>121</v>
      </c>
      <c r="U176" s="59" t="s">
        <v>120</v>
      </c>
      <c r="V176" s="58" t="s">
        <v>120</v>
      </c>
      <c r="W176" s="58" t="s">
        <v>120</v>
      </c>
      <c r="X176" s="58" t="s">
        <v>120</v>
      </c>
      <c r="Y176" s="58" t="s">
        <v>121</v>
      </c>
      <c r="Z176" s="59" t="s">
        <v>120</v>
      </c>
      <c r="AA176" s="59" t="s">
        <v>120</v>
      </c>
      <c r="AB176" s="58" t="s">
        <v>92</v>
      </c>
      <c r="AC176" s="59" t="s">
        <v>121</v>
      </c>
      <c r="AD176" s="58" t="s">
        <v>120</v>
      </c>
      <c r="AE176" s="58" t="s">
        <v>120</v>
      </c>
      <c r="AF176" s="73"/>
      <c r="AG176" s="73"/>
      <c r="AH176" s="59" t="s">
        <v>120</v>
      </c>
      <c r="AI176" s="59"/>
      <c r="AJ176" s="59"/>
      <c r="AK176" s="59"/>
      <c r="AL176" s="59"/>
      <c r="AM176" s="59"/>
      <c r="AN176" s="59"/>
      <c r="AO176" s="59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  <c r="BC176" s="58"/>
      <c r="BD176" s="28"/>
      <c r="BE176" s="28"/>
      <c r="BF176" s="28"/>
      <c r="BG176" s="56">
        <f t="shared" si="5"/>
        <v>28</v>
      </c>
      <c r="BH176" s="42">
        <f t="shared" si="6"/>
        <v>21</v>
      </c>
      <c r="BI176" s="43">
        <f t="shared" si="7"/>
        <v>0.75</v>
      </c>
      <c r="BJ176" s="44">
        <f t="shared" si="8"/>
        <v>6</v>
      </c>
      <c r="BK176" s="42">
        <f t="shared" si="9"/>
        <v>1</v>
      </c>
      <c r="BL176" s="28"/>
      <c r="BM176" s="28"/>
      <c r="BN176" s="28"/>
      <c r="BO176" s="28"/>
    </row>
    <row r="177">
      <c r="A177" s="14">
        <f t="shared" si="2"/>
        <v>174</v>
      </c>
      <c r="B177" s="79">
        <f t="shared" si="3"/>
        <v>45962</v>
      </c>
      <c r="C177" s="48">
        <v>45982.0</v>
      </c>
      <c r="D177" s="57">
        <f t="shared" si="4"/>
        <v>45982</v>
      </c>
      <c r="E177" s="59" t="s">
        <v>121</v>
      </c>
      <c r="F177" s="58" t="s">
        <v>120</v>
      </c>
      <c r="G177" s="58" t="s">
        <v>120</v>
      </c>
      <c r="H177" s="59" t="s">
        <v>121</v>
      </c>
      <c r="I177" s="58" t="s">
        <v>120</v>
      </c>
      <c r="J177" s="58" t="s">
        <v>120</v>
      </c>
      <c r="K177" s="58" t="s">
        <v>120</v>
      </c>
      <c r="L177" s="58" t="s">
        <v>121</v>
      </c>
      <c r="M177" s="59" t="s">
        <v>120</v>
      </c>
      <c r="N177" s="59" t="s">
        <v>120</v>
      </c>
      <c r="O177" s="58" t="s">
        <v>120</v>
      </c>
      <c r="P177" s="59" t="s">
        <v>120</v>
      </c>
      <c r="Q177" s="58" t="s">
        <v>120</v>
      </c>
      <c r="R177" s="59" t="s">
        <v>120</v>
      </c>
      <c r="S177" s="59" t="s">
        <v>121</v>
      </c>
      <c r="T177" s="58" t="s">
        <v>121</v>
      </c>
      <c r="U177" s="59" t="s">
        <v>121</v>
      </c>
      <c r="V177" s="59" t="s">
        <v>121</v>
      </c>
      <c r="W177" s="58" t="s">
        <v>120</v>
      </c>
      <c r="X177" s="58" t="s">
        <v>120</v>
      </c>
      <c r="Y177" s="58" t="s">
        <v>121</v>
      </c>
      <c r="Z177" s="59" t="s">
        <v>121</v>
      </c>
      <c r="AA177" s="59" t="s">
        <v>121</v>
      </c>
      <c r="AB177" s="58" t="s">
        <v>92</v>
      </c>
      <c r="AC177" s="59" t="s">
        <v>121</v>
      </c>
      <c r="AD177" s="58" t="s">
        <v>120</v>
      </c>
      <c r="AE177" s="58" t="s">
        <v>120</v>
      </c>
      <c r="AF177" s="80"/>
      <c r="AG177" s="80"/>
      <c r="AH177" s="59" t="s">
        <v>120</v>
      </c>
      <c r="AI177" s="60"/>
      <c r="AJ177" s="60"/>
      <c r="AK177" s="60"/>
      <c r="AL177" s="60"/>
      <c r="AM177" s="60"/>
      <c r="AN177" s="60"/>
      <c r="AO177" s="60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  <c r="BC177" s="58"/>
      <c r="BD177" s="28"/>
      <c r="BE177" s="28"/>
      <c r="BF177" s="28"/>
      <c r="BG177" s="56">
        <f t="shared" si="5"/>
        <v>28</v>
      </c>
      <c r="BH177" s="42">
        <f t="shared" si="6"/>
        <v>16</v>
      </c>
      <c r="BI177" s="43">
        <f t="shared" si="7"/>
        <v>0.5714285714</v>
      </c>
      <c r="BJ177" s="44">
        <f t="shared" si="8"/>
        <v>11</v>
      </c>
      <c r="BK177" s="42">
        <f t="shared" si="9"/>
        <v>1</v>
      </c>
      <c r="BL177" s="28"/>
      <c r="BM177" s="28"/>
      <c r="BN177" s="28"/>
      <c r="BO177" s="28"/>
    </row>
    <row r="178">
      <c r="A178" s="14">
        <f t="shared" si="2"/>
        <v>175</v>
      </c>
      <c r="B178" s="79">
        <f t="shared" si="3"/>
        <v>45962</v>
      </c>
      <c r="C178" s="48">
        <v>45983.0</v>
      </c>
      <c r="D178" s="57">
        <f t="shared" si="4"/>
        <v>45983</v>
      </c>
      <c r="E178" s="59" t="s">
        <v>120</v>
      </c>
      <c r="F178" s="58" t="s">
        <v>120</v>
      </c>
      <c r="G178" s="58" t="s">
        <v>120</v>
      </c>
      <c r="H178" s="59" t="s">
        <v>121</v>
      </c>
      <c r="I178" s="58" t="s">
        <v>120</v>
      </c>
      <c r="J178" s="58" t="s">
        <v>120</v>
      </c>
      <c r="K178" s="58" t="s">
        <v>121</v>
      </c>
      <c r="L178" s="58" t="s">
        <v>121</v>
      </c>
      <c r="M178" s="59" t="s">
        <v>121</v>
      </c>
      <c r="N178" s="59" t="s">
        <v>120</v>
      </c>
      <c r="O178" s="58" t="s">
        <v>120</v>
      </c>
      <c r="P178" s="59" t="s">
        <v>120</v>
      </c>
      <c r="Q178" s="59" t="s">
        <v>121</v>
      </c>
      <c r="R178" s="59" t="s">
        <v>120</v>
      </c>
      <c r="S178" s="59" t="s">
        <v>120</v>
      </c>
      <c r="T178" s="58" t="s">
        <v>121</v>
      </c>
      <c r="U178" s="59" t="s">
        <v>120</v>
      </c>
      <c r="V178" s="59" t="s">
        <v>121</v>
      </c>
      <c r="W178" s="59" t="s">
        <v>121</v>
      </c>
      <c r="X178" s="58" t="s">
        <v>120</v>
      </c>
      <c r="Y178" s="58" t="s">
        <v>121</v>
      </c>
      <c r="Z178" s="59" t="s">
        <v>120</v>
      </c>
      <c r="AA178" s="59" t="s">
        <v>121</v>
      </c>
      <c r="AB178" s="58" t="s">
        <v>92</v>
      </c>
      <c r="AC178" s="59" t="s">
        <v>121</v>
      </c>
      <c r="AD178" s="58" t="s">
        <v>120</v>
      </c>
      <c r="AE178" s="58" t="s">
        <v>120</v>
      </c>
      <c r="AF178" s="73"/>
      <c r="AG178" s="73"/>
      <c r="AH178" s="59" t="s">
        <v>120</v>
      </c>
      <c r="AI178" s="59"/>
      <c r="AJ178" s="59"/>
      <c r="AK178" s="59"/>
      <c r="AL178" s="59"/>
      <c r="AM178" s="59"/>
      <c r="AN178" s="59"/>
      <c r="AO178" s="59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  <c r="BD178" s="28"/>
      <c r="BE178" s="28"/>
      <c r="BF178" s="28"/>
      <c r="BG178" s="56">
        <f t="shared" si="5"/>
        <v>28</v>
      </c>
      <c r="BH178" s="42">
        <f t="shared" si="6"/>
        <v>16</v>
      </c>
      <c r="BI178" s="43">
        <f t="shared" si="7"/>
        <v>0.5714285714</v>
      </c>
      <c r="BJ178" s="44">
        <f t="shared" si="8"/>
        <v>11</v>
      </c>
      <c r="BK178" s="42">
        <f t="shared" si="9"/>
        <v>1</v>
      </c>
      <c r="BL178" s="28"/>
      <c r="BM178" s="28"/>
      <c r="BN178" s="28"/>
      <c r="BO178" s="28"/>
    </row>
    <row r="179">
      <c r="A179" s="14">
        <f t="shared" si="2"/>
        <v>176</v>
      </c>
      <c r="B179" s="79">
        <f t="shared" si="3"/>
        <v>45962</v>
      </c>
      <c r="C179" s="48">
        <v>45984.0</v>
      </c>
      <c r="D179" s="49">
        <f t="shared" si="4"/>
        <v>45984</v>
      </c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78"/>
      <c r="BE179" s="78"/>
      <c r="BF179" s="78"/>
      <c r="BG179" s="56">
        <f t="shared" si="5"/>
        <v>0</v>
      </c>
      <c r="BH179" s="42">
        <f t="shared" si="6"/>
        <v>0</v>
      </c>
      <c r="BI179" s="43" t="str">
        <f t="shared" si="7"/>
        <v>#DIV/0!</v>
      </c>
      <c r="BJ179" s="44">
        <f t="shared" si="8"/>
        <v>0</v>
      </c>
      <c r="BK179" s="42">
        <f t="shared" si="9"/>
        <v>0</v>
      </c>
      <c r="BL179" s="28"/>
      <c r="BM179" s="28"/>
      <c r="BN179" s="28"/>
      <c r="BO179" s="28"/>
    </row>
    <row r="180">
      <c r="A180" s="14">
        <f t="shared" si="2"/>
        <v>177</v>
      </c>
      <c r="B180" s="79">
        <f t="shared" si="3"/>
        <v>45962</v>
      </c>
      <c r="C180" s="48">
        <v>45985.0</v>
      </c>
      <c r="D180" s="57">
        <f t="shared" si="4"/>
        <v>45985</v>
      </c>
      <c r="E180" s="59" t="s">
        <v>121</v>
      </c>
      <c r="F180" s="59" t="s">
        <v>120</v>
      </c>
      <c r="G180" s="59" t="s">
        <v>120</v>
      </c>
      <c r="H180" s="59" t="s">
        <v>120</v>
      </c>
      <c r="I180" s="59" t="s">
        <v>120</v>
      </c>
      <c r="J180" s="59" t="s">
        <v>120</v>
      </c>
      <c r="K180" s="59" t="s">
        <v>120</v>
      </c>
      <c r="L180" s="59" t="s">
        <v>121</v>
      </c>
      <c r="M180" s="59" t="s">
        <v>120</v>
      </c>
      <c r="N180" s="59" t="s">
        <v>120</v>
      </c>
      <c r="O180" s="59" t="s">
        <v>120</v>
      </c>
      <c r="P180" s="59" t="s">
        <v>120</v>
      </c>
      <c r="Q180" s="59" t="s">
        <v>120</v>
      </c>
      <c r="R180" s="59" t="s">
        <v>120</v>
      </c>
      <c r="S180" s="59" t="s">
        <v>120</v>
      </c>
      <c r="T180" s="59" t="s">
        <v>121</v>
      </c>
      <c r="U180" s="59" t="s">
        <v>120</v>
      </c>
      <c r="V180" s="59" t="s">
        <v>120</v>
      </c>
      <c r="W180" s="59" t="s">
        <v>120</v>
      </c>
      <c r="X180" s="59" t="s">
        <v>120</v>
      </c>
      <c r="Y180" s="59" t="s">
        <v>121</v>
      </c>
      <c r="Z180" s="59" t="s">
        <v>120</v>
      </c>
      <c r="AA180" s="59" t="s">
        <v>120</v>
      </c>
      <c r="AB180" s="59" t="s">
        <v>92</v>
      </c>
      <c r="AC180" s="59" t="s">
        <v>120</v>
      </c>
      <c r="AD180" s="59" t="s">
        <v>120</v>
      </c>
      <c r="AE180" s="59" t="s">
        <v>120</v>
      </c>
      <c r="AF180" s="73"/>
      <c r="AG180" s="73"/>
      <c r="AH180" s="59" t="s">
        <v>120</v>
      </c>
      <c r="AI180" s="59"/>
      <c r="AJ180" s="59"/>
      <c r="AK180" s="59"/>
      <c r="AL180" s="59"/>
      <c r="AM180" s="59"/>
      <c r="AN180" s="59"/>
      <c r="AO180" s="59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28"/>
      <c r="BE180" s="28"/>
      <c r="BF180" s="28"/>
      <c r="BG180" s="56">
        <f t="shared" si="5"/>
        <v>28</v>
      </c>
      <c r="BH180" s="42">
        <f t="shared" si="6"/>
        <v>23</v>
      </c>
      <c r="BI180" s="43">
        <f t="shared" si="7"/>
        <v>0.8214285714</v>
      </c>
      <c r="BJ180" s="44">
        <f t="shared" si="8"/>
        <v>4</v>
      </c>
      <c r="BK180" s="42">
        <f t="shared" si="9"/>
        <v>1</v>
      </c>
      <c r="BL180" s="28"/>
      <c r="BM180" s="28"/>
      <c r="BN180" s="28"/>
      <c r="BO180" s="28"/>
    </row>
    <row r="181">
      <c r="A181" s="14">
        <f t="shared" si="2"/>
        <v>178</v>
      </c>
      <c r="B181" s="79">
        <f t="shared" si="3"/>
        <v>45962</v>
      </c>
      <c r="C181" s="48">
        <v>45986.0</v>
      </c>
      <c r="D181" s="57">
        <f t="shared" si="4"/>
        <v>45986</v>
      </c>
      <c r="E181" s="59" t="s">
        <v>121</v>
      </c>
      <c r="F181" s="59" t="s">
        <v>120</v>
      </c>
      <c r="G181" s="59" t="s">
        <v>120</v>
      </c>
      <c r="H181" s="59" t="s">
        <v>120</v>
      </c>
      <c r="I181" s="59" t="s">
        <v>120</v>
      </c>
      <c r="J181" s="59" t="s">
        <v>120</v>
      </c>
      <c r="K181" s="59" t="s">
        <v>120</v>
      </c>
      <c r="L181" s="59" t="s">
        <v>121</v>
      </c>
      <c r="M181" s="59" t="s">
        <v>120</v>
      </c>
      <c r="N181" s="59" t="s">
        <v>120</v>
      </c>
      <c r="O181" s="59" t="s">
        <v>120</v>
      </c>
      <c r="P181" s="59" t="s">
        <v>120</v>
      </c>
      <c r="Q181" s="59" t="s">
        <v>120</v>
      </c>
      <c r="R181" s="59" t="s">
        <v>120</v>
      </c>
      <c r="S181" s="59" t="s">
        <v>120</v>
      </c>
      <c r="T181" s="59" t="s">
        <v>121</v>
      </c>
      <c r="U181" s="59" t="s">
        <v>120</v>
      </c>
      <c r="V181" s="59" t="s">
        <v>120</v>
      </c>
      <c r="W181" s="59" t="s">
        <v>120</v>
      </c>
      <c r="X181" s="59" t="s">
        <v>120</v>
      </c>
      <c r="Y181" s="59" t="s">
        <v>121</v>
      </c>
      <c r="Z181" s="59" t="s">
        <v>120</v>
      </c>
      <c r="AA181" s="59" t="s">
        <v>120</v>
      </c>
      <c r="AB181" s="59" t="s">
        <v>92</v>
      </c>
      <c r="AC181" s="59" t="s">
        <v>121</v>
      </c>
      <c r="AD181" s="59" t="s">
        <v>120</v>
      </c>
      <c r="AE181" s="59" t="s">
        <v>120</v>
      </c>
      <c r="AF181" s="73"/>
      <c r="AG181" s="73"/>
      <c r="AH181" s="59" t="s">
        <v>120</v>
      </c>
      <c r="AI181" s="59"/>
      <c r="AJ181" s="59"/>
      <c r="AK181" s="59"/>
      <c r="AL181" s="59"/>
      <c r="AM181" s="59"/>
      <c r="AN181" s="59"/>
      <c r="AO181" s="59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  <c r="BD181" s="28"/>
      <c r="BE181" s="28"/>
      <c r="BF181" s="28"/>
      <c r="BG181" s="56">
        <f t="shared" si="5"/>
        <v>28</v>
      </c>
      <c r="BH181" s="42">
        <f t="shared" si="6"/>
        <v>22</v>
      </c>
      <c r="BI181" s="43">
        <f t="shared" si="7"/>
        <v>0.7857142857</v>
      </c>
      <c r="BJ181" s="44">
        <f t="shared" si="8"/>
        <v>5</v>
      </c>
      <c r="BK181" s="42">
        <f t="shared" si="9"/>
        <v>1</v>
      </c>
      <c r="BL181" s="28"/>
      <c r="BM181" s="28"/>
      <c r="BN181" s="28"/>
      <c r="BO181" s="28"/>
    </row>
    <row r="182">
      <c r="A182" s="14">
        <f t="shared" si="2"/>
        <v>179</v>
      </c>
      <c r="B182" s="79">
        <f t="shared" si="3"/>
        <v>45962</v>
      </c>
      <c r="C182" s="48">
        <v>45987.0</v>
      </c>
      <c r="D182" s="57">
        <f t="shared" si="4"/>
        <v>45987</v>
      </c>
      <c r="E182" s="59" t="s">
        <v>121</v>
      </c>
      <c r="F182" s="59" t="s">
        <v>120</v>
      </c>
      <c r="G182" s="59" t="s">
        <v>120</v>
      </c>
      <c r="H182" s="59" t="s">
        <v>120</v>
      </c>
      <c r="I182" s="59" t="s">
        <v>120</v>
      </c>
      <c r="J182" s="59" t="s">
        <v>120</v>
      </c>
      <c r="K182" s="59" t="s">
        <v>120</v>
      </c>
      <c r="L182" s="59" t="s">
        <v>121</v>
      </c>
      <c r="M182" s="59" t="s">
        <v>120</v>
      </c>
      <c r="N182" s="59" t="s">
        <v>120</v>
      </c>
      <c r="O182" s="59" t="s">
        <v>120</v>
      </c>
      <c r="P182" s="59" t="s">
        <v>120</v>
      </c>
      <c r="Q182" s="59" t="s">
        <v>120</v>
      </c>
      <c r="R182" s="59" t="s">
        <v>120</v>
      </c>
      <c r="S182" s="59" t="s">
        <v>120</v>
      </c>
      <c r="T182" s="59" t="s">
        <v>121</v>
      </c>
      <c r="U182" s="59" t="s">
        <v>120</v>
      </c>
      <c r="V182" s="59" t="s">
        <v>121</v>
      </c>
      <c r="W182" s="59" t="s">
        <v>120</v>
      </c>
      <c r="X182" s="59" t="s">
        <v>120</v>
      </c>
      <c r="Y182" s="59" t="s">
        <v>121</v>
      </c>
      <c r="Z182" s="59" t="s">
        <v>120</v>
      </c>
      <c r="AA182" s="59" t="s">
        <v>121</v>
      </c>
      <c r="AB182" s="59" t="s">
        <v>92</v>
      </c>
      <c r="AC182" s="59" t="s">
        <v>120</v>
      </c>
      <c r="AD182" s="59" t="s">
        <v>120</v>
      </c>
      <c r="AE182" s="59" t="s">
        <v>120</v>
      </c>
      <c r="AF182" s="73"/>
      <c r="AG182" s="73"/>
      <c r="AH182" s="59" t="s">
        <v>120</v>
      </c>
      <c r="AI182" s="59"/>
      <c r="AJ182" s="59"/>
      <c r="AK182" s="59"/>
      <c r="AL182" s="59"/>
      <c r="AM182" s="59"/>
      <c r="AN182" s="59"/>
      <c r="AO182" s="59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  <c r="BD182" s="28"/>
      <c r="BE182" s="28"/>
      <c r="BF182" s="28"/>
      <c r="BG182" s="56">
        <f t="shared" si="5"/>
        <v>28</v>
      </c>
      <c r="BH182" s="42">
        <f t="shared" si="6"/>
        <v>21</v>
      </c>
      <c r="BI182" s="43">
        <f t="shared" si="7"/>
        <v>0.75</v>
      </c>
      <c r="BJ182" s="44">
        <f t="shared" si="8"/>
        <v>6</v>
      </c>
      <c r="BK182" s="42">
        <f t="shared" si="9"/>
        <v>1</v>
      </c>
      <c r="BL182" s="28"/>
      <c r="BM182" s="28"/>
      <c r="BN182" s="28"/>
      <c r="BO182" s="28"/>
    </row>
    <row r="183">
      <c r="A183" s="14">
        <f t="shared" si="2"/>
        <v>180</v>
      </c>
      <c r="B183" s="79">
        <f t="shared" si="3"/>
        <v>45962</v>
      </c>
      <c r="C183" s="48">
        <v>45988.0</v>
      </c>
      <c r="D183" s="57">
        <f t="shared" si="4"/>
        <v>45988</v>
      </c>
      <c r="E183" s="59" t="s">
        <v>121</v>
      </c>
      <c r="F183" s="59" t="s">
        <v>120</v>
      </c>
      <c r="G183" s="59" t="s">
        <v>120</v>
      </c>
      <c r="H183" s="59" t="s">
        <v>121</v>
      </c>
      <c r="I183" s="59" t="s">
        <v>120</v>
      </c>
      <c r="J183" s="59" t="s">
        <v>120</v>
      </c>
      <c r="K183" s="59" t="s">
        <v>120</v>
      </c>
      <c r="L183" s="59" t="s">
        <v>121</v>
      </c>
      <c r="M183" s="59" t="s">
        <v>120</v>
      </c>
      <c r="N183" s="59" t="s">
        <v>120</v>
      </c>
      <c r="O183" s="59" t="s">
        <v>120</v>
      </c>
      <c r="P183" s="59" t="s">
        <v>120</v>
      </c>
      <c r="Q183" s="59" t="s">
        <v>120</v>
      </c>
      <c r="R183" s="59" t="s">
        <v>120</v>
      </c>
      <c r="S183" s="59" t="s">
        <v>120</v>
      </c>
      <c r="T183" s="59" t="s">
        <v>121</v>
      </c>
      <c r="U183" s="59" t="s">
        <v>120</v>
      </c>
      <c r="V183" s="59" t="s">
        <v>120</v>
      </c>
      <c r="W183" s="59" t="s">
        <v>120</v>
      </c>
      <c r="X183" s="59" t="s">
        <v>120</v>
      </c>
      <c r="Y183" s="59" t="s">
        <v>121</v>
      </c>
      <c r="Z183" s="59" t="s">
        <v>120</v>
      </c>
      <c r="AA183" s="59" t="s">
        <v>120</v>
      </c>
      <c r="AB183" s="59" t="s">
        <v>92</v>
      </c>
      <c r="AC183" s="59" t="s">
        <v>120</v>
      </c>
      <c r="AD183" s="59" t="s">
        <v>120</v>
      </c>
      <c r="AE183" s="59" t="s">
        <v>120</v>
      </c>
      <c r="AF183" s="73"/>
      <c r="AG183" s="73"/>
      <c r="AH183" s="59" t="s">
        <v>120</v>
      </c>
      <c r="AI183" s="59"/>
      <c r="AJ183" s="59"/>
      <c r="AK183" s="59"/>
      <c r="AL183" s="59"/>
      <c r="AM183" s="59"/>
      <c r="AN183" s="59"/>
      <c r="AO183" s="59"/>
      <c r="AP183" s="58"/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  <c r="BC183" s="58"/>
      <c r="BD183" s="28"/>
      <c r="BE183" s="28"/>
      <c r="BF183" s="28"/>
      <c r="BG183" s="56">
        <f t="shared" si="5"/>
        <v>28</v>
      </c>
      <c r="BH183" s="42">
        <f t="shared" si="6"/>
        <v>22</v>
      </c>
      <c r="BI183" s="43">
        <f t="shared" si="7"/>
        <v>0.7857142857</v>
      </c>
      <c r="BJ183" s="44">
        <f t="shared" si="8"/>
        <v>5</v>
      </c>
      <c r="BK183" s="42">
        <f t="shared" si="9"/>
        <v>1</v>
      </c>
      <c r="BL183" s="28"/>
      <c r="BM183" s="28"/>
      <c r="BN183" s="28"/>
      <c r="BO183" s="28"/>
    </row>
    <row r="184">
      <c r="A184" s="14">
        <f t="shared" si="2"/>
        <v>181</v>
      </c>
      <c r="B184" s="79">
        <f t="shared" si="3"/>
        <v>45962</v>
      </c>
      <c r="C184" s="48">
        <v>45989.0</v>
      </c>
      <c r="D184" s="57">
        <f t="shared" si="4"/>
        <v>45989</v>
      </c>
      <c r="E184" s="59" t="s">
        <v>121</v>
      </c>
      <c r="F184" s="59" t="s">
        <v>120</v>
      </c>
      <c r="G184" s="59" t="s">
        <v>120</v>
      </c>
      <c r="H184" s="59" t="s">
        <v>121</v>
      </c>
      <c r="I184" s="59" t="s">
        <v>120</v>
      </c>
      <c r="J184" s="59" t="s">
        <v>120</v>
      </c>
      <c r="K184" s="59" t="s">
        <v>120</v>
      </c>
      <c r="L184" s="59" t="s">
        <v>121</v>
      </c>
      <c r="M184" s="59" t="s">
        <v>121</v>
      </c>
      <c r="N184" s="59" t="s">
        <v>120</v>
      </c>
      <c r="O184" s="59" t="s">
        <v>120</v>
      </c>
      <c r="P184" s="59" t="s">
        <v>120</v>
      </c>
      <c r="Q184" s="59" t="s">
        <v>121</v>
      </c>
      <c r="R184" s="59" t="s">
        <v>120</v>
      </c>
      <c r="S184" s="59" t="s">
        <v>121</v>
      </c>
      <c r="T184" s="59" t="s">
        <v>121</v>
      </c>
      <c r="U184" s="59" t="s">
        <v>121</v>
      </c>
      <c r="V184" s="59" t="s">
        <v>121</v>
      </c>
      <c r="W184" s="59" t="s">
        <v>120</v>
      </c>
      <c r="X184" s="59" t="s">
        <v>120</v>
      </c>
      <c r="Y184" s="59" t="s">
        <v>121</v>
      </c>
      <c r="Z184" s="59" t="s">
        <v>121</v>
      </c>
      <c r="AA184" s="59" t="s">
        <v>120</v>
      </c>
      <c r="AB184" s="59" t="s">
        <v>92</v>
      </c>
      <c r="AC184" s="59" t="s">
        <v>120</v>
      </c>
      <c r="AD184" s="59" t="s">
        <v>120</v>
      </c>
      <c r="AE184" s="59" t="s">
        <v>120</v>
      </c>
      <c r="AF184" s="80"/>
      <c r="AG184" s="80"/>
      <c r="AH184" s="59" t="s">
        <v>120</v>
      </c>
      <c r="AI184" s="60"/>
      <c r="AJ184" s="60"/>
      <c r="AK184" s="60"/>
      <c r="AL184" s="60"/>
      <c r="AM184" s="60"/>
      <c r="AN184" s="60"/>
      <c r="AO184" s="60"/>
      <c r="AP184" s="58"/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8"/>
      <c r="BB184" s="58"/>
      <c r="BC184" s="58"/>
      <c r="BD184" s="28"/>
      <c r="BE184" s="28"/>
      <c r="BF184" s="28"/>
      <c r="BG184" s="56">
        <f t="shared" si="5"/>
        <v>28</v>
      </c>
      <c r="BH184" s="42">
        <f t="shared" si="6"/>
        <v>16</v>
      </c>
      <c r="BI184" s="43">
        <f t="shared" si="7"/>
        <v>0.5714285714</v>
      </c>
      <c r="BJ184" s="44">
        <f t="shared" si="8"/>
        <v>11</v>
      </c>
      <c r="BK184" s="42">
        <f t="shared" si="9"/>
        <v>1</v>
      </c>
      <c r="BL184" s="28"/>
      <c r="BM184" s="28"/>
      <c r="BN184" s="28"/>
      <c r="BO184" s="28"/>
    </row>
    <row r="185">
      <c r="A185" s="14">
        <f t="shared" si="2"/>
        <v>182</v>
      </c>
      <c r="B185" s="79">
        <f t="shared" si="3"/>
        <v>45962</v>
      </c>
      <c r="C185" s="48">
        <v>45990.0</v>
      </c>
      <c r="D185" s="57">
        <f t="shared" si="4"/>
        <v>45990</v>
      </c>
      <c r="E185" s="59" t="s">
        <v>121</v>
      </c>
      <c r="F185" s="59" t="s">
        <v>120</v>
      </c>
      <c r="G185" s="59" t="s">
        <v>120</v>
      </c>
      <c r="H185" s="59" t="s">
        <v>120</v>
      </c>
      <c r="I185" s="59" t="s">
        <v>120</v>
      </c>
      <c r="J185" s="59" t="s">
        <v>120</v>
      </c>
      <c r="K185" s="59" t="s">
        <v>120</v>
      </c>
      <c r="L185" s="59" t="s">
        <v>121</v>
      </c>
      <c r="M185" s="59" t="s">
        <v>120</v>
      </c>
      <c r="N185" s="59" t="s">
        <v>120</v>
      </c>
      <c r="O185" s="59" t="s">
        <v>120</v>
      </c>
      <c r="P185" s="59" t="s">
        <v>120</v>
      </c>
      <c r="Q185" s="59" t="s">
        <v>120</v>
      </c>
      <c r="R185" s="59" t="s">
        <v>120</v>
      </c>
      <c r="S185" s="59" t="s">
        <v>121</v>
      </c>
      <c r="T185" s="59" t="s">
        <v>121</v>
      </c>
      <c r="U185" s="59" t="s">
        <v>121</v>
      </c>
      <c r="V185" s="59" t="s">
        <v>121</v>
      </c>
      <c r="W185" s="59" t="s">
        <v>120</v>
      </c>
      <c r="X185" s="59" t="s">
        <v>120</v>
      </c>
      <c r="Y185" s="59" t="s">
        <v>121</v>
      </c>
      <c r="Z185" s="59" t="s">
        <v>121</v>
      </c>
      <c r="AA185" s="59" t="s">
        <v>121</v>
      </c>
      <c r="AB185" s="59" t="s">
        <v>92</v>
      </c>
      <c r="AC185" s="59" t="s">
        <v>120</v>
      </c>
      <c r="AD185" s="59" t="s">
        <v>120</v>
      </c>
      <c r="AE185" s="59" t="s">
        <v>120</v>
      </c>
      <c r="AF185" s="73"/>
      <c r="AG185" s="73"/>
      <c r="AH185" s="59" t="s">
        <v>121</v>
      </c>
      <c r="AI185" s="59"/>
      <c r="AJ185" s="59"/>
      <c r="AK185" s="59"/>
      <c r="AL185" s="59"/>
      <c r="AM185" s="59"/>
      <c r="AN185" s="59"/>
      <c r="AO185" s="59"/>
      <c r="AP185" s="58"/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8"/>
      <c r="BB185" s="58"/>
      <c r="BC185" s="58"/>
      <c r="BD185" s="28"/>
      <c r="BE185" s="28"/>
      <c r="BF185" s="28"/>
      <c r="BG185" s="56">
        <f t="shared" si="5"/>
        <v>28</v>
      </c>
      <c r="BH185" s="42">
        <f t="shared" si="6"/>
        <v>17</v>
      </c>
      <c r="BI185" s="43">
        <f t="shared" si="7"/>
        <v>0.6071428571</v>
      </c>
      <c r="BJ185" s="44">
        <f t="shared" si="8"/>
        <v>10</v>
      </c>
      <c r="BK185" s="42">
        <f t="shared" si="9"/>
        <v>1</v>
      </c>
      <c r="BL185" s="28"/>
      <c r="BM185" s="28"/>
      <c r="BN185" s="28"/>
      <c r="BO185" s="28"/>
    </row>
    <row r="186">
      <c r="A186" s="14">
        <f t="shared" si="2"/>
        <v>183</v>
      </c>
      <c r="B186" s="79">
        <f t="shared" si="3"/>
        <v>45962</v>
      </c>
      <c r="C186" s="48">
        <v>45991.0</v>
      </c>
      <c r="D186" s="49">
        <f t="shared" si="4"/>
        <v>45991</v>
      </c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0"/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78"/>
      <c r="BE186" s="78"/>
      <c r="BF186" s="78"/>
      <c r="BG186" s="56">
        <f t="shared" si="5"/>
        <v>0</v>
      </c>
      <c r="BH186" s="42">
        <f t="shared" si="6"/>
        <v>0</v>
      </c>
      <c r="BI186" s="43" t="str">
        <f t="shared" si="7"/>
        <v>#DIV/0!</v>
      </c>
      <c r="BJ186" s="44">
        <f t="shared" si="8"/>
        <v>0</v>
      </c>
      <c r="BK186" s="42">
        <f t="shared" si="9"/>
        <v>0</v>
      </c>
      <c r="BL186" s="28"/>
      <c r="BM186" s="28"/>
      <c r="BN186" s="28"/>
      <c r="BO186" s="28"/>
    </row>
    <row r="187">
      <c r="A187" s="14">
        <f t="shared" si="2"/>
        <v>184</v>
      </c>
      <c r="B187" s="82">
        <f t="shared" si="3"/>
        <v>45992</v>
      </c>
      <c r="C187" s="48">
        <v>45992.0</v>
      </c>
      <c r="D187" s="57">
        <f t="shared" si="4"/>
        <v>45992</v>
      </c>
      <c r="E187" s="59" t="s">
        <v>121</v>
      </c>
      <c r="F187" s="59" t="s">
        <v>120</v>
      </c>
      <c r="G187" s="59" t="s">
        <v>120</v>
      </c>
      <c r="H187" s="59" t="s">
        <v>120</v>
      </c>
      <c r="I187" s="59" t="s">
        <v>120</v>
      </c>
      <c r="J187" s="59" t="s">
        <v>120</v>
      </c>
      <c r="K187" s="59" t="s">
        <v>120</v>
      </c>
      <c r="L187" s="59" t="s">
        <v>121</v>
      </c>
      <c r="M187" s="59" t="s">
        <v>120</v>
      </c>
      <c r="N187" s="59" t="s">
        <v>120</v>
      </c>
      <c r="O187" s="59" t="s">
        <v>120</v>
      </c>
      <c r="P187" s="59" t="s">
        <v>120</v>
      </c>
      <c r="Q187" s="59" t="s">
        <v>120</v>
      </c>
      <c r="R187" s="59" t="s">
        <v>120</v>
      </c>
      <c r="S187" s="59" t="s">
        <v>121</v>
      </c>
      <c r="T187" s="59" t="s">
        <v>121</v>
      </c>
      <c r="U187" s="59" t="s">
        <v>121</v>
      </c>
      <c r="V187" s="59" t="s">
        <v>120</v>
      </c>
      <c r="W187" s="59" t="s">
        <v>121</v>
      </c>
      <c r="X187" s="59" t="s">
        <v>120</v>
      </c>
      <c r="Y187" s="59" t="s">
        <v>121</v>
      </c>
      <c r="Z187" s="59" t="s">
        <v>120</v>
      </c>
      <c r="AA187" s="59" t="s">
        <v>121</v>
      </c>
      <c r="AB187" s="59" t="s">
        <v>92</v>
      </c>
      <c r="AC187" s="59" t="s">
        <v>120</v>
      </c>
      <c r="AD187" s="59" t="s">
        <v>120</v>
      </c>
      <c r="AE187" s="59" t="s">
        <v>120</v>
      </c>
      <c r="AF187" s="73"/>
      <c r="AG187" s="73"/>
      <c r="AH187" s="59" t="s">
        <v>120</v>
      </c>
      <c r="AI187" s="59"/>
      <c r="AJ187" s="59"/>
      <c r="AK187" s="59"/>
      <c r="AL187" s="59"/>
      <c r="AM187" s="59"/>
      <c r="AN187" s="59"/>
      <c r="AO187" s="59"/>
      <c r="AP187" s="58"/>
      <c r="AQ187" s="58"/>
      <c r="AR187" s="58"/>
      <c r="AS187" s="58"/>
      <c r="AT187" s="58"/>
      <c r="AU187" s="58"/>
      <c r="AV187" s="58"/>
      <c r="AW187" s="58"/>
      <c r="AX187" s="58"/>
      <c r="AY187" s="58"/>
      <c r="AZ187" s="58"/>
      <c r="BA187" s="58"/>
      <c r="BB187" s="58"/>
      <c r="BC187" s="58"/>
      <c r="BD187" s="28"/>
      <c r="BE187" s="28"/>
      <c r="BF187" s="28"/>
      <c r="BG187" s="56">
        <f t="shared" si="5"/>
        <v>28</v>
      </c>
      <c r="BH187" s="42">
        <f t="shared" si="6"/>
        <v>19</v>
      </c>
      <c r="BI187" s="43">
        <f t="shared" si="7"/>
        <v>0.6785714286</v>
      </c>
      <c r="BJ187" s="44">
        <f t="shared" si="8"/>
        <v>8</v>
      </c>
      <c r="BK187" s="42">
        <f t="shared" si="9"/>
        <v>1</v>
      </c>
      <c r="BL187" s="28"/>
      <c r="BM187" s="28"/>
      <c r="BN187" s="28"/>
      <c r="BO187" s="28"/>
    </row>
    <row r="188">
      <c r="A188" s="14">
        <f t="shared" si="2"/>
        <v>185</v>
      </c>
      <c r="B188" s="82">
        <f t="shared" si="3"/>
        <v>45992</v>
      </c>
      <c r="C188" s="48">
        <v>45993.0</v>
      </c>
      <c r="D188" s="57">
        <f t="shared" si="4"/>
        <v>45993</v>
      </c>
      <c r="E188" s="59" t="s">
        <v>121</v>
      </c>
      <c r="F188" s="59" t="s">
        <v>120</v>
      </c>
      <c r="G188" s="59" t="s">
        <v>120</v>
      </c>
      <c r="H188" s="59" t="s">
        <v>121</v>
      </c>
      <c r="I188" s="59" t="s">
        <v>120</v>
      </c>
      <c r="J188" s="59" t="s">
        <v>120</v>
      </c>
      <c r="K188" s="59" t="s">
        <v>120</v>
      </c>
      <c r="L188" s="59" t="s">
        <v>121</v>
      </c>
      <c r="M188" s="59" t="s">
        <v>120</v>
      </c>
      <c r="N188" s="59" t="s">
        <v>120</v>
      </c>
      <c r="O188" s="59" t="s">
        <v>120</v>
      </c>
      <c r="P188" s="59" t="s">
        <v>120</v>
      </c>
      <c r="Q188" s="59" t="s">
        <v>120</v>
      </c>
      <c r="R188" s="59" t="s">
        <v>121</v>
      </c>
      <c r="S188" s="59" t="s">
        <v>120</v>
      </c>
      <c r="T188" s="59" t="s">
        <v>121</v>
      </c>
      <c r="U188" s="59" t="s">
        <v>120</v>
      </c>
      <c r="V188" s="59" t="s">
        <v>120</v>
      </c>
      <c r="W188" s="59" t="s">
        <v>121</v>
      </c>
      <c r="X188" s="59" t="s">
        <v>120</v>
      </c>
      <c r="Y188" s="59" t="s">
        <v>121</v>
      </c>
      <c r="Z188" s="59" t="s">
        <v>120</v>
      </c>
      <c r="AA188" s="59" t="s">
        <v>120</v>
      </c>
      <c r="AB188" s="59" t="s">
        <v>92</v>
      </c>
      <c r="AC188" s="59" t="s">
        <v>121</v>
      </c>
      <c r="AD188" s="59" t="s">
        <v>120</v>
      </c>
      <c r="AE188" s="59" t="s">
        <v>120</v>
      </c>
      <c r="AF188" s="59" t="s">
        <v>120</v>
      </c>
      <c r="AG188" s="59" t="s">
        <v>120</v>
      </c>
      <c r="AH188" s="59" t="s">
        <v>120</v>
      </c>
      <c r="AI188" s="59"/>
      <c r="AJ188" s="59"/>
      <c r="AK188" s="59"/>
      <c r="AL188" s="59"/>
      <c r="AM188" s="59"/>
      <c r="AN188" s="59"/>
      <c r="AO188" s="59"/>
      <c r="AP188" s="58"/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8"/>
      <c r="BB188" s="58"/>
      <c r="BC188" s="58"/>
      <c r="BD188" s="28"/>
      <c r="BE188" s="28"/>
      <c r="BF188" s="28"/>
      <c r="BG188" s="56">
        <f t="shared" si="5"/>
        <v>30</v>
      </c>
      <c r="BH188" s="42">
        <f t="shared" si="6"/>
        <v>21</v>
      </c>
      <c r="BI188" s="43">
        <f t="shared" si="7"/>
        <v>0.7</v>
      </c>
      <c r="BJ188" s="44">
        <f t="shared" si="8"/>
        <v>8</v>
      </c>
      <c r="BK188" s="42">
        <f t="shared" si="9"/>
        <v>1</v>
      </c>
      <c r="BL188" s="28"/>
      <c r="BM188" s="28"/>
      <c r="BN188" s="28"/>
      <c r="BO188" s="28"/>
    </row>
    <row r="189">
      <c r="A189" s="14">
        <f t="shared" si="2"/>
        <v>186</v>
      </c>
      <c r="B189" s="82">
        <f t="shared" si="3"/>
        <v>45992</v>
      </c>
      <c r="C189" s="48">
        <v>45994.0</v>
      </c>
      <c r="D189" s="57">
        <f t="shared" si="4"/>
        <v>45994</v>
      </c>
      <c r="E189" s="59" t="s">
        <v>120</v>
      </c>
      <c r="F189" s="59" t="s">
        <v>120</v>
      </c>
      <c r="G189" s="59" t="s">
        <v>120</v>
      </c>
      <c r="H189" s="59" t="s">
        <v>120</v>
      </c>
      <c r="I189" s="59" t="s">
        <v>120</v>
      </c>
      <c r="J189" s="59" t="s">
        <v>120</v>
      </c>
      <c r="K189" s="59" t="s">
        <v>120</v>
      </c>
      <c r="L189" s="59" t="s">
        <v>121</v>
      </c>
      <c r="M189" s="59" t="s">
        <v>120</v>
      </c>
      <c r="N189" s="59" t="s">
        <v>120</v>
      </c>
      <c r="O189" s="59" t="s">
        <v>120</v>
      </c>
      <c r="P189" s="59" t="s">
        <v>120</v>
      </c>
      <c r="Q189" s="59" t="s">
        <v>120</v>
      </c>
      <c r="R189" s="59" t="s">
        <v>120</v>
      </c>
      <c r="S189" s="59" t="s">
        <v>120</v>
      </c>
      <c r="T189" s="59" t="s">
        <v>121</v>
      </c>
      <c r="U189" s="59" t="s">
        <v>120</v>
      </c>
      <c r="V189" s="59" t="s">
        <v>120</v>
      </c>
      <c r="W189" s="59" t="s">
        <v>120</v>
      </c>
      <c r="X189" s="59" t="s">
        <v>120</v>
      </c>
      <c r="Y189" s="59" t="s">
        <v>121</v>
      </c>
      <c r="Z189" s="59" t="s">
        <v>120</v>
      </c>
      <c r="AA189" s="59" t="s">
        <v>121</v>
      </c>
      <c r="AB189" s="59" t="s">
        <v>92</v>
      </c>
      <c r="AC189" s="59" t="s">
        <v>120</v>
      </c>
      <c r="AD189" s="59" t="s">
        <v>121</v>
      </c>
      <c r="AE189" s="59" t="s">
        <v>121</v>
      </c>
      <c r="AF189" s="59" t="s">
        <v>120</v>
      </c>
      <c r="AG189" s="59" t="s">
        <v>121</v>
      </c>
      <c r="AH189" s="59" t="s">
        <v>120</v>
      </c>
      <c r="AI189" s="59"/>
      <c r="AJ189" s="59"/>
      <c r="AK189" s="59"/>
      <c r="AL189" s="59"/>
      <c r="AM189" s="59"/>
      <c r="AN189" s="59"/>
      <c r="AO189" s="59"/>
      <c r="AP189" s="58"/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8"/>
      <c r="BB189" s="58"/>
      <c r="BC189" s="58"/>
      <c r="BD189" s="28"/>
      <c r="BE189" s="28"/>
      <c r="BF189" s="28"/>
      <c r="BG189" s="56">
        <f t="shared" si="5"/>
        <v>30</v>
      </c>
      <c r="BH189" s="42">
        <f t="shared" si="6"/>
        <v>22</v>
      </c>
      <c r="BI189" s="43">
        <f t="shared" si="7"/>
        <v>0.7333333333</v>
      </c>
      <c r="BJ189" s="44">
        <f t="shared" si="8"/>
        <v>7</v>
      </c>
      <c r="BK189" s="42">
        <f t="shared" si="9"/>
        <v>1</v>
      </c>
      <c r="BL189" s="28"/>
      <c r="BM189" s="28"/>
      <c r="BN189" s="28"/>
      <c r="BO189" s="28"/>
    </row>
    <row r="190">
      <c r="A190" s="14">
        <f t="shared" si="2"/>
        <v>187</v>
      </c>
      <c r="B190" s="82">
        <f t="shared" si="3"/>
        <v>45992</v>
      </c>
      <c r="C190" s="48">
        <v>45995.0</v>
      </c>
      <c r="D190" s="57">
        <f t="shared" si="4"/>
        <v>45995</v>
      </c>
      <c r="E190" s="59" t="s">
        <v>121</v>
      </c>
      <c r="F190" s="59" t="s">
        <v>120</v>
      </c>
      <c r="G190" s="59" t="s">
        <v>120</v>
      </c>
      <c r="H190" s="59" t="s">
        <v>120</v>
      </c>
      <c r="I190" s="59" t="s">
        <v>120</v>
      </c>
      <c r="J190" s="59" t="s">
        <v>120</v>
      </c>
      <c r="K190" s="59" t="s">
        <v>120</v>
      </c>
      <c r="L190" s="59" t="s">
        <v>121</v>
      </c>
      <c r="M190" s="59" t="s">
        <v>120</v>
      </c>
      <c r="N190" s="59" t="s">
        <v>120</v>
      </c>
      <c r="O190" s="59" t="s">
        <v>120</v>
      </c>
      <c r="P190" s="59" t="s">
        <v>120</v>
      </c>
      <c r="Q190" s="59" t="s">
        <v>120</v>
      </c>
      <c r="R190" s="59" t="s">
        <v>120</v>
      </c>
      <c r="S190" s="59" t="s">
        <v>120</v>
      </c>
      <c r="T190" s="59" t="s">
        <v>121</v>
      </c>
      <c r="U190" s="59" t="s">
        <v>120</v>
      </c>
      <c r="V190" s="59" t="s">
        <v>120</v>
      </c>
      <c r="W190" s="59" t="s">
        <v>120</v>
      </c>
      <c r="X190" s="59" t="s">
        <v>120</v>
      </c>
      <c r="Y190" s="59" t="s">
        <v>121</v>
      </c>
      <c r="Z190" s="59" t="s">
        <v>120</v>
      </c>
      <c r="AA190" s="59" t="s">
        <v>120</v>
      </c>
      <c r="AB190" s="59" t="s">
        <v>92</v>
      </c>
      <c r="AC190" s="59" t="s">
        <v>120</v>
      </c>
      <c r="AD190" s="59" t="s">
        <v>120</v>
      </c>
      <c r="AE190" s="59" t="s">
        <v>121</v>
      </c>
      <c r="AF190" s="59" t="s">
        <v>120</v>
      </c>
      <c r="AG190" s="59" t="s">
        <v>120</v>
      </c>
      <c r="AH190" s="59" t="s">
        <v>120</v>
      </c>
      <c r="AI190" s="59"/>
      <c r="AJ190" s="59"/>
      <c r="AK190" s="59"/>
      <c r="AL190" s="59"/>
      <c r="AM190" s="59"/>
      <c r="AN190" s="59"/>
      <c r="AO190" s="59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  <c r="BD190" s="28"/>
      <c r="BE190" s="28"/>
      <c r="BF190" s="28"/>
      <c r="BG190" s="56">
        <f t="shared" si="5"/>
        <v>30</v>
      </c>
      <c r="BH190" s="42">
        <f t="shared" si="6"/>
        <v>24</v>
      </c>
      <c r="BI190" s="43">
        <f t="shared" si="7"/>
        <v>0.8</v>
      </c>
      <c r="BJ190" s="44">
        <f t="shared" si="8"/>
        <v>5</v>
      </c>
      <c r="BK190" s="42">
        <f t="shared" si="9"/>
        <v>1</v>
      </c>
      <c r="BL190" s="28"/>
      <c r="BM190" s="28"/>
      <c r="BN190" s="28"/>
      <c r="BO190" s="28"/>
    </row>
    <row r="191">
      <c r="A191" s="14">
        <f t="shared" si="2"/>
        <v>188</v>
      </c>
      <c r="B191" s="82">
        <f t="shared" si="3"/>
        <v>45992</v>
      </c>
      <c r="C191" s="48">
        <v>45996.0</v>
      </c>
      <c r="D191" s="57">
        <f t="shared" si="4"/>
        <v>45996</v>
      </c>
      <c r="E191" s="59" t="s">
        <v>120</v>
      </c>
      <c r="F191" s="59" t="s">
        <v>120</v>
      </c>
      <c r="G191" s="59" t="s">
        <v>120</v>
      </c>
      <c r="H191" s="59" t="s">
        <v>120</v>
      </c>
      <c r="I191" s="59" t="s">
        <v>120</v>
      </c>
      <c r="J191" s="59" t="s">
        <v>120</v>
      </c>
      <c r="K191" s="59" t="s">
        <v>120</v>
      </c>
      <c r="L191" s="59" t="s">
        <v>121</v>
      </c>
      <c r="M191" s="59" t="s">
        <v>120</v>
      </c>
      <c r="N191" s="59" t="s">
        <v>120</v>
      </c>
      <c r="O191" s="59" t="s">
        <v>120</v>
      </c>
      <c r="P191" s="59" t="s">
        <v>120</v>
      </c>
      <c r="Q191" s="59" t="s">
        <v>120</v>
      </c>
      <c r="R191" s="59" t="s">
        <v>120</v>
      </c>
      <c r="S191" s="59" t="s">
        <v>120</v>
      </c>
      <c r="T191" s="59" t="s">
        <v>121</v>
      </c>
      <c r="U191" s="59" t="s">
        <v>120</v>
      </c>
      <c r="V191" s="59" t="s">
        <v>120</v>
      </c>
      <c r="W191" s="59" t="s">
        <v>120</v>
      </c>
      <c r="X191" s="59" t="s">
        <v>120</v>
      </c>
      <c r="Y191" s="59" t="s">
        <v>121</v>
      </c>
      <c r="Z191" s="59" t="s">
        <v>120</v>
      </c>
      <c r="AA191" s="59" t="s">
        <v>120</v>
      </c>
      <c r="AB191" s="59" t="s">
        <v>92</v>
      </c>
      <c r="AC191" s="59" t="s">
        <v>120</v>
      </c>
      <c r="AD191" s="59" t="s">
        <v>120</v>
      </c>
      <c r="AE191" s="59" t="s">
        <v>120</v>
      </c>
      <c r="AF191" s="59" t="s">
        <v>120</v>
      </c>
      <c r="AG191" s="59" t="s">
        <v>120</v>
      </c>
      <c r="AH191" s="59" t="s">
        <v>120</v>
      </c>
      <c r="AI191" s="60"/>
      <c r="AJ191" s="60"/>
      <c r="AK191" s="60"/>
      <c r="AL191" s="60"/>
      <c r="AM191" s="60"/>
      <c r="AN191" s="60"/>
      <c r="AO191" s="60"/>
      <c r="AP191" s="58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  <c r="BC191" s="58"/>
      <c r="BD191" s="28"/>
      <c r="BE191" s="28"/>
      <c r="BF191" s="28"/>
      <c r="BG191" s="56">
        <f t="shared" si="5"/>
        <v>30</v>
      </c>
      <c r="BH191" s="42">
        <f t="shared" si="6"/>
        <v>26</v>
      </c>
      <c r="BI191" s="43">
        <f t="shared" si="7"/>
        <v>0.8666666667</v>
      </c>
      <c r="BJ191" s="44">
        <f t="shared" si="8"/>
        <v>3</v>
      </c>
      <c r="BK191" s="42">
        <f t="shared" si="9"/>
        <v>1</v>
      </c>
      <c r="BL191" s="28"/>
      <c r="BM191" s="28"/>
      <c r="BN191" s="28"/>
      <c r="BO191" s="28"/>
    </row>
    <row r="192">
      <c r="A192" s="14">
        <f t="shared" si="2"/>
        <v>189</v>
      </c>
      <c r="B192" s="82">
        <f t="shared" si="3"/>
        <v>45992</v>
      </c>
      <c r="C192" s="48">
        <v>45997.0</v>
      </c>
      <c r="D192" s="57">
        <f t="shared" si="4"/>
        <v>45997</v>
      </c>
      <c r="E192" s="59" t="s">
        <v>120</v>
      </c>
      <c r="F192" s="59" t="s">
        <v>120</v>
      </c>
      <c r="G192" s="59" t="s">
        <v>120</v>
      </c>
      <c r="H192" s="59" t="s">
        <v>120</v>
      </c>
      <c r="I192" s="59" t="s">
        <v>120</v>
      </c>
      <c r="J192" s="59" t="s">
        <v>120</v>
      </c>
      <c r="K192" s="59" t="s">
        <v>120</v>
      </c>
      <c r="L192" s="59" t="s">
        <v>121</v>
      </c>
      <c r="M192" s="59" t="s">
        <v>120</v>
      </c>
      <c r="N192" s="59" t="s">
        <v>120</v>
      </c>
      <c r="O192" s="59" t="s">
        <v>120</v>
      </c>
      <c r="P192" s="59" t="s">
        <v>120</v>
      </c>
      <c r="Q192" s="59" t="s">
        <v>120</v>
      </c>
      <c r="R192" s="59" t="s">
        <v>120</v>
      </c>
      <c r="S192" s="59" t="s">
        <v>120</v>
      </c>
      <c r="T192" s="59" t="s">
        <v>121</v>
      </c>
      <c r="U192" s="59" t="s">
        <v>120</v>
      </c>
      <c r="V192" s="59" t="s">
        <v>120</v>
      </c>
      <c r="W192" s="59" t="s">
        <v>120</v>
      </c>
      <c r="X192" s="59" t="s">
        <v>120</v>
      </c>
      <c r="Y192" s="59" t="s">
        <v>121</v>
      </c>
      <c r="Z192" s="59" t="s">
        <v>120</v>
      </c>
      <c r="AA192" s="59" t="s">
        <v>120</v>
      </c>
      <c r="AB192" s="59" t="s">
        <v>92</v>
      </c>
      <c r="AC192" s="59" t="s">
        <v>120</v>
      </c>
      <c r="AD192" s="59" t="s">
        <v>120</v>
      </c>
      <c r="AE192" s="59" t="s">
        <v>120</v>
      </c>
      <c r="AF192" s="59" t="s">
        <v>120</v>
      </c>
      <c r="AG192" s="59" t="s">
        <v>120</v>
      </c>
      <c r="AH192" s="59" t="s">
        <v>120</v>
      </c>
      <c r="AI192" s="59"/>
      <c r="AJ192" s="59"/>
      <c r="AK192" s="59"/>
      <c r="AL192" s="59"/>
      <c r="AM192" s="59"/>
      <c r="AN192" s="59"/>
      <c r="AO192" s="59"/>
      <c r="AP192" s="58"/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8"/>
      <c r="BB192" s="58"/>
      <c r="BC192" s="58"/>
      <c r="BD192" s="28"/>
      <c r="BE192" s="28"/>
      <c r="BF192" s="28"/>
      <c r="BG192" s="56">
        <f t="shared" si="5"/>
        <v>30</v>
      </c>
      <c r="BH192" s="42">
        <f t="shared" si="6"/>
        <v>26</v>
      </c>
      <c r="BI192" s="43">
        <f t="shared" si="7"/>
        <v>0.8666666667</v>
      </c>
      <c r="BJ192" s="44">
        <f t="shared" si="8"/>
        <v>3</v>
      </c>
      <c r="BK192" s="42">
        <f t="shared" si="9"/>
        <v>1</v>
      </c>
      <c r="BL192" s="28"/>
      <c r="BM192" s="28"/>
      <c r="BN192" s="28"/>
      <c r="BO192" s="28"/>
    </row>
    <row r="193">
      <c r="A193" s="14">
        <f t="shared" si="2"/>
        <v>190</v>
      </c>
      <c r="B193" s="82">
        <f t="shared" si="3"/>
        <v>45992</v>
      </c>
      <c r="C193" s="48">
        <v>45998.0</v>
      </c>
      <c r="D193" s="49">
        <f t="shared" si="4"/>
        <v>45998</v>
      </c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/>
      <c r="AZ193" s="50"/>
      <c r="BA193" s="50"/>
      <c r="BB193" s="50"/>
      <c r="BC193" s="50"/>
      <c r="BD193" s="78"/>
      <c r="BE193" s="78"/>
      <c r="BF193" s="78"/>
      <c r="BG193" s="56">
        <f t="shared" si="5"/>
        <v>0</v>
      </c>
      <c r="BH193" s="42">
        <f t="shared" si="6"/>
        <v>0</v>
      </c>
      <c r="BI193" s="43" t="str">
        <f t="shared" si="7"/>
        <v>#DIV/0!</v>
      </c>
      <c r="BJ193" s="44">
        <f t="shared" si="8"/>
        <v>0</v>
      </c>
      <c r="BK193" s="42">
        <f t="shared" si="9"/>
        <v>0</v>
      </c>
      <c r="BL193" s="28"/>
      <c r="BM193" s="28"/>
      <c r="BN193" s="28"/>
      <c r="BO193" s="28"/>
    </row>
    <row r="194">
      <c r="A194" s="14">
        <f t="shared" si="2"/>
        <v>191</v>
      </c>
      <c r="B194" s="82">
        <f t="shared" si="3"/>
        <v>45992</v>
      </c>
      <c r="C194" s="48">
        <v>45999.0</v>
      </c>
      <c r="D194" s="57">
        <f t="shared" si="4"/>
        <v>45999</v>
      </c>
      <c r="E194" s="59" t="s">
        <v>121</v>
      </c>
      <c r="F194" s="59" t="s">
        <v>120</v>
      </c>
      <c r="G194" s="59" t="s">
        <v>120</v>
      </c>
      <c r="H194" s="59" t="s">
        <v>121</v>
      </c>
      <c r="I194" s="59" t="s">
        <v>120</v>
      </c>
      <c r="J194" s="59" t="s">
        <v>121</v>
      </c>
      <c r="K194" s="59" t="s">
        <v>120</v>
      </c>
      <c r="L194" s="59" t="s">
        <v>121</v>
      </c>
      <c r="M194" s="59" t="s">
        <v>120</v>
      </c>
      <c r="N194" s="59" t="s">
        <v>120</v>
      </c>
      <c r="O194" s="59" t="s">
        <v>120</v>
      </c>
      <c r="P194" s="59" t="s">
        <v>120</v>
      </c>
      <c r="Q194" s="59" t="s">
        <v>121</v>
      </c>
      <c r="R194" s="59" t="s">
        <v>121</v>
      </c>
      <c r="S194" s="59" t="s">
        <v>121</v>
      </c>
      <c r="T194" s="59" t="s">
        <v>121</v>
      </c>
      <c r="U194" s="59" t="s">
        <v>121</v>
      </c>
      <c r="V194" s="59" t="s">
        <v>120</v>
      </c>
      <c r="W194" s="59" t="s">
        <v>120</v>
      </c>
      <c r="X194" s="59" t="s">
        <v>120</v>
      </c>
      <c r="Y194" s="59" t="s">
        <v>121</v>
      </c>
      <c r="Z194" s="59" t="s">
        <v>121</v>
      </c>
      <c r="AA194" s="59" t="s">
        <v>120</v>
      </c>
      <c r="AB194" s="59" t="s">
        <v>92</v>
      </c>
      <c r="AC194" s="59" t="s">
        <v>120</v>
      </c>
      <c r="AD194" s="59" t="s">
        <v>120</v>
      </c>
      <c r="AE194" s="59" t="s">
        <v>120</v>
      </c>
      <c r="AF194" s="59" t="s">
        <v>120</v>
      </c>
      <c r="AG194" s="59" t="s">
        <v>120</v>
      </c>
      <c r="AH194" s="59" t="s">
        <v>121</v>
      </c>
      <c r="AI194" s="59"/>
      <c r="AJ194" s="59"/>
      <c r="AK194" s="59"/>
      <c r="AL194" s="59"/>
      <c r="AM194" s="59"/>
      <c r="AN194" s="59"/>
      <c r="AO194" s="59"/>
      <c r="AP194" s="58"/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8"/>
      <c r="BB194" s="58"/>
      <c r="BC194" s="58"/>
      <c r="BD194" s="28"/>
      <c r="BE194" s="28"/>
      <c r="BF194" s="28"/>
      <c r="BG194" s="56">
        <f t="shared" si="5"/>
        <v>30</v>
      </c>
      <c r="BH194" s="42">
        <f t="shared" si="6"/>
        <v>17</v>
      </c>
      <c r="BI194" s="43">
        <f t="shared" si="7"/>
        <v>0.5666666667</v>
      </c>
      <c r="BJ194" s="44">
        <f t="shared" si="8"/>
        <v>12</v>
      </c>
      <c r="BK194" s="42">
        <f t="shared" si="9"/>
        <v>1</v>
      </c>
      <c r="BL194" s="28"/>
      <c r="BM194" s="28"/>
      <c r="BN194" s="28"/>
      <c r="BO194" s="28"/>
    </row>
    <row r="195">
      <c r="A195" s="14">
        <f t="shared" si="2"/>
        <v>192</v>
      </c>
      <c r="B195" s="82">
        <f t="shared" si="3"/>
        <v>45992</v>
      </c>
      <c r="C195" s="48">
        <v>46000.0</v>
      </c>
      <c r="D195" s="57">
        <f t="shared" si="4"/>
        <v>46000</v>
      </c>
      <c r="E195" s="59" t="s">
        <v>121</v>
      </c>
      <c r="F195" s="59" t="s">
        <v>120</v>
      </c>
      <c r="G195" s="59" t="s">
        <v>120</v>
      </c>
      <c r="H195" s="59" t="s">
        <v>120</v>
      </c>
      <c r="I195" s="59" t="s">
        <v>120</v>
      </c>
      <c r="J195" s="59" t="s">
        <v>120</v>
      </c>
      <c r="K195" s="59" t="s">
        <v>120</v>
      </c>
      <c r="L195" s="59" t="s">
        <v>121</v>
      </c>
      <c r="M195" s="59" t="s">
        <v>120</v>
      </c>
      <c r="N195" s="59" t="s">
        <v>120</v>
      </c>
      <c r="O195" s="59" t="s">
        <v>120</v>
      </c>
      <c r="P195" s="59" t="s">
        <v>121</v>
      </c>
      <c r="Q195" s="59" t="s">
        <v>120</v>
      </c>
      <c r="R195" s="59" t="s">
        <v>120</v>
      </c>
      <c r="S195" s="59" t="s">
        <v>121</v>
      </c>
      <c r="T195" s="59" t="s">
        <v>121</v>
      </c>
      <c r="U195" s="59" t="s">
        <v>121</v>
      </c>
      <c r="V195" s="59" t="s">
        <v>120</v>
      </c>
      <c r="W195" s="59" t="s">
        <v>121</v>
      </c>
      <c r="X195" s="59" t="s">
        <v>120</v>
      </c>
      <c r="Y195" s="59" t="s">
        <v>121</v>
      </c>
      <c r="Z195" s="59" t="s">
        <v>121</v>
      </c>
      <c r="AA195" s="59" t="s">
        <v>120</v>
      </c>
      <c r="AB195" s="59" t="s">
        <v>92</v>
      </c>
      <c r="AC195" s="59" t="s">
        <v>120</v>
      </c>
      <c r="AD195" s="59" t="s">
        <v>120</v>
      </c>
      <c r="AE195" s="59" t="s">
        <v>120</v>
      </c>
      <c r="AF195" s="59" t="s">
        <v>120</v>
      </c>
      <c r="AG195" s="59" t="s">
        <v>120</v>
      </c>
      <c r="AH195" s="59" t="s">
        <v>120</v>
      </c>
      <c r="AI195" s="59"/>
      <c r="AJ195" s="59"/>
      <c r="AK195" s="59"/>
      <c r="AL195" s="59"/>
      <c r="AM195" s="59"/>
      <c r="AN195" s="59"/>
      <c r="AO195" s="59"/>
      <c r="AP195" s="58"/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8"/>
      <c r="BB195" s="58"/>
      <c r="BC195" s="58"/>
      <c r="BD195" s="28"/>
      <c r="BE195" s="28"/>
      <c r="BF195" s="28"/>
      <c r="BG195" s="56">
        <f t="shared" si="5"/>
        <v>30</v>
      </c>
      <c r="BH195" s="42">
        <f t="shared" si="6"/>
        <v>20</v>
      </c>
      <c r="BI195" s="43">
        <f t="shared" si="7"/>
        <v>0.6666666667</v>
      </c>
      <c r="BJ195" s="44">
        <f t="shared" si="8"/>
        <v>9</v>
      </c>
      <c r="BK195" s="42">
        <f t="shared" si="9"/>
        <v>1</v>
      </c>
      <c r="BL195" s="28"/>
      <c r="BM195" s="28"/>
      <c r="BN195" s="28"/>
      <c r="BO195" s="28"/>
    </row>
    <row r="196">
      <c r="A196" s="14">
        <f t="shared" si="2"/>
        <v>193</v>
      </c>
      <c r="B196" s="82">
        <f t="shared" si="3"/>
        <v>45992</v>
      </c>
      <c r="C196" s="48">
        <v>46001.0</v>
      </c>
      <c r="D196" s="57">
        <f t="shared" si="4"/>
        <v>46001</v>
      </c>
      <c r="E196" s="59" t="s">
        <v>120</v>
      </c>
      <c r="F196" s="59" t="s">
        <v>120</v>
      </c>
      <c r="G196" s="59" t="s">
        <v>120</v>
      </c>
      <c r="H196" s="59" t="s">
        <v>120</v>
      </c>
      <c r="I196" s="59" t="s">
        <v>120</v>
      </c>
      <c r="J196" s="59" t="s">
        <v>120</v>
      </c>
      <c r="K196" s="59" t="s">
        <v>120</v>
      </c>
      <c r="L196" s="59" t="s">
        <v>120</v>
      </c>
      <c r="M196" s="59" t="s">
        <v>120</v>
      </c>
      <c r="N196" s="59" t="s">
        <v>120</v>
      </c>
      <c r="O196" s="59" t="s">
        <v>120</v>
      </c>
      <c r="P196" s="59" t="s">
        <v>120</v>
      </c>
      <c r="Q196" s="59" t="s">
        <v>120</v>
      </c>
      <c r="R196" s="59" t="s">
        <v>120</v>
      </c>
      <c r="S196" s="59" t="s">
        <v>121</v>
      </c>
      <c r="T196" s="59" t="s">
        <v>121</v>
      </c>
      <c r="U196" s="59" t="s">
        <v>120</v>
      </c>
      <c r="V196" s="59" t="s">
        <v>120</v>
      </c>
      <c r="W196" s="59" t="s">
        <v>120</v>
      </c>
      <c r="X196" s="59" t="s">
        <v>120</v>
      </c>
      <c r="Y196" s="59" t="s">
        <v>121</v>
      </c>
      <c r="Z196" s="59" t="s">
        <v>120</v>
      </c>
      <c r="AA196" s="59" t="s">
        <v>120</v>
      </c>
      <c r="AB196" s="59" t="s">
        <v>92</v>
      </c>
      <c r="AC196" s="59" t="s">
        <v>120</v>
      </c>
      <c r="AD196" s="59" t="s">
        <v>120</v>
      </c>
      <c r="AE196" s="59" t="s">
        <v>120</v>
      </c>
      <c r="AF196" s="59" t="s">
        <v>120</v>
      </c>
      <c r="AG196" s="59" t="s">
        <v>120</v>
      </c>
      <c r="AH196" s="59" t="s">
        <v>120</v>
      </c>
      <c r="AI196" s="59"/>
      <c r="AJ196" s="59"/>
      <c r="AK196" s="59"/>
      <c r="AL196" s="59"/>
      <c r="AM196" s="59"/>
      <c r="AN196" s="59"/>
      <c r="AO196" s="59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  <c r="BD196" s="28"/>
      <c r="BE196" s="28"/>
      <c r="BF196" s="28"/>
      <c r="BG196" s="56">
        <f t="shared" si="5"/>
        <v>30</v>
      </c>
      <c r="BH196" s="42">
        <f t="shared" si="6"/>
        <v>26</v>
      </c>
      <c r="BI196" s="43">
        <f t="shared" si="7"/>
        <v>0.8666666667</v>
      </c>
      <c r="BJ196" s="44">
        <f t="shared" si="8"/>
        <v>3</v>
      </c>
      <c r="BK196" s="42">
        <f t="shared" si="9"/>
        <v>1</v>
      </c>
      <c r="BL196" s="28"/>
      <c r="BM196" s="28"/>
      <c r="BN196" s="28"/>
      <c r="BO196" s="28"/>
    </row>
    <row r="197">
      <c r="A197" s="14">
        <f t="shared" si="2"/>
        <v>194</v>
      </c>
      <c r="B197" s="82">
        <f t="shared" si="3"/>
        <v>45992</v>
      </c>
      <c r="C197" s="48">
        <v>46002.0</v>
      </c>
      <c r="D197" s="57">
        <f t="shared" si="4"/>
        <v>46002</v>
      </c>
      <c r="E197" s="59" t="s">
        <v>120</v>
      </c>
      <c r="F197" s="59" t="s">
        <v>120</v>
      </c>
      <c r="G197" s="59" t="s">
        <v>120</v>
      </c>
      <c r="H197" s="59" t="s">
        <v>120</v>
      </c>
      <c r="I197" s="59" t="s">
        <v>120</v>
      </c>
      <c r="J197" s="59" t="s">
        <v>120</v>
      </c>
      <c r="K197" s="59" t="s">
        <v>121</v>
      </c>
      <c r="L197" s="59" t="s">
        <v>120</v>
      </c>
      <c r="M197" s="59" t="s">
        <v>120</v>
      </c>
      <c r="N197" s="59" t="s">
        <v>120</v>
      </c>
      <c r="O197" s="59" t="s">
        <v>120</v>
      </c>
      <c r="P197" s="59" t="s">
        <v>120</v>
      </c>
      <c r="Q197" s="59" t="s">
        <v>120</v>
      </c>
      <c r="R197" s="59" t="s">
        <v>120</v>
      </c>
      <c r="S197" s="59" t="s">
        <v>121</v>
      </c>
      <c r="T197" s="59" t="s">
        <v>121</v>
      </c>
      <c r="U197" s="59" t="s">
        <v>121</v>
      </c>
      <c r="V197" s="59" t="s">
        <v>120</v>
      </c>
      <c r="W197" s="59" t="s">
        <v>120</v>
      </c>
      <c r="X197" s="59" t="s">
        <v>120</v>
      </c>
      <c r="Y197" s="59" t="s">
        <v>121</v>
      </c>
      <c r="Z197" s="59" t="s">
        <v>121</v>
      </c>
      <c r="AA197" s="59" t="s">
        <v>120</v>
      </c>
      <c r="AB197" s="59" t="s">
        <v>92</v>
      </c>
      <c r="AC197" s="59" t="s">
        <v>120</v>
      </c>
      <c r="AD197" s="59" t="s">
        <v>120</v>
      </c>
      <c r="AE197" s="59" t="s">
        <v>120</v>
      </c>
      <c r="AF197" s="59" t="s">
        <v>120</v>
      </c>
      <c r="AG197" s="59" t="s">
        <v>120</v>
      </c>
      <c r="AH197" s="59" t="s">
        <v>120</v>
      </c>
      <c r="AI197" s="59"/>
      <c r="AJ197" s="59"/>
      <c r="AK197" s="59"/>
      <c r="AL197" s="59"/>
      <c r="AM197" s="59"/>
      <c r="AN197" s="59"/>
      <c r="AO197" s="59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28"/>
      <c r="BE197" s="28"/>
      <c r="BF197" s="28"/>
      <c r="BG197" s="56">
        <f t="shared" si="5"/>
        <v>30</v>
      </c>
      <c r="BH197" s="42">
        <f t="shared" si="6"/>
        <v>23</v>
      </c>
      <c r="BI197" s="43">
        <f t="shared" si="7"/>
        <v>0.7666666667</v>
      </c>
      <c r="BJ197" s="44">
        <f t="shared" si="8"/>
        <v>6</v>
      </c>
      <c r="BK197" s="42">
        <f t="shared" si="9"/>
        <v>1</v>
      </c>
      <c r="BL197" s="28"/>
      <c r="BM197" s="28"/>
      <c r="BN197" s="28"/>
      <c r="BO197" s="28"/>
    </row>
    <row r="198">
      <c r="A198" s="14">
        <f t="shared" si="2"/>
        <v>195</v>
      </c>
      <c r="B198" s="82">
        <f t="shared" si="3"/>
        <v>45992</v>
      </c>
      <c r="C198" s="48">
        <v>46003.0</v>
      </c>
      <c r="D198" s="57">
        <f t="shared" si="4"/>
        <v>46003</v>
      </c>
      <c r="E198" s="59" t="s">
        <v>120</v>
      </c>
      <c r="F198" s="59" t="s">
        <v>120</v>
      </c>
      <c r="G198" s="59" t="s">
        <v>120</v>
      </c>
      <c r="H198" s="59" t="s">
        <v>120</v>
      </c>
      <c r="I198" s="59" t="s">
        <v>120</v>
      </c>
      <c r="J198" s="59" t="s">
        <v>120</v>
      </c>
      <c r="K198" s="59" t="s">
        <v>120</v>
      </c>
      <c r="L198" s="59" t="s">
        <v>120</v>
      </c>
      <c r="M198" s="59" t="s">
        <v>120</v>
      </c>
      <c r="N198" s="59" t="s">
        <v>120</v>
      </c>
      <c r="O198" s="59" t="s">
        <v>120</v>
      </c>
      <c r="P198" s="59" t="s">
        <v>120</v>
      </c>
      <c r="Q198" s="59" t="s">
        <v>120</v>
      </c>
      <c r="R198" s="59" t="s">
        <v>120</v>
      </c>
      <c r="S198" s="59" t="s">
        <v>121</v>
      </c>
      <c r="T198" s="59" t="s">
        <v>121</v>
      </c>
      <c r="U198" s="59" t="s">
        <v>121</v>
      </c>
      <c r="V198" s="59" t="s">
        <v>120</v>
      </c>
      <c r="W198" s="59" t="s">
        <v>120</v>
      </c>
      <c r="X198" s="59" t="s">
        <v>120</v>
      </c>
      <c r="Y198" s="59" t="s">
        <v>121</v>
      </c>
      <c r="Z198" s="59" t="s">
        <v>121</v>
      </c>
      <c r="AA198" s="59" t="s">
        <v>120</v>
      </c>
      <c r="AB198" s="59" t="s">
        <v>92</v>
      </c>
      <c r="AC198" s="59" t="s">
        <v>120</v>
      </c>
      <c r="AD198" s="59" t="s">
        <v>120</v>
      </c>
      <c r="AE198" s="59" t="s">
        <v>120</v>
      </c>
      <c r="AF198" s="59" t="s">
        <v>121</v>
      </c>
      <c r="AG198" s="59" t="s">
        <v>121</v>
      </c>
      <c r="AH198" s="59" t="s">
        <v>120</v>
      </c>
      <c r="AI198" s="60"/>
      <c r="AJ198" s="60"/>
      <c r="AK198" s="60"/>
      <c r="AL198" s="60"/>
      <c r="AM198" s="60"/>
      <c r="AN198" s="60"/>
      <c r="AO198" s="60"/>
      <c r="AP198" s="58"/>
      <c r="AQ198" s="58"/>
      <c r="AR198" s="58"/>
      <c r="AS198" s="58"/>
      <c r="AT198" s="58"/>
      <c r="AU198" s="58"/>
      <c r="AV198" s="58"/>
      <c r="AW198" s="58"/>
      <c r="AX198" s="58"/>
      <c r="AY198" s="58"/>
      <c r="AZ198" s="58"/>
      <c r="BA198" s="58"/>
      <c r="BB198" s="58"/>
      <c r="BC198" s="58"/>
      <c r="BD198" s="28"/>
      <c r="BE198" s="28"/>
      <c r="BF198" s="28"/>
      <c r="BG198" s="56">
        <f t="shared" si="5"/>
        <v>30</v>
      </c>
      <c r="BH198" s="42">
        <f t="shared" si="6"/>
        <v>22</v>
      </c>
      <c r="BI198" s="43">
        <f t="shared" si="7"/>
        <v>0.7333333333</v>
      </c>
      <c r="BJ198" s="44">
        <f t="shared" si="8"/>
        <v>7</v>
      </c>
      <c r="BK198" s="42">
        <f t="shared" si="9"/>
        <v>1</v>
      </c>
      <c r="BL198" s="28"/>
      <c r="BM198" s="28"/>
      <c r="BN198" s="28"/>
      <c r="BO198" s="28"/>
    </row>
    <row r="199">
      <c r="A199" s="14">
        <f t="shared" si="2"/>
        <v>196</v>
      </c>
      <c r="B199" s="82">
        <f t="shared" si="3"/>
        <v>45992</v>
      </c>
      <c r="C199" s="48">
        <v>46004.0</v>
      </c>
      <c r="D199" s="57">
        <f t="shared" si="4"/>
        <v>46004</v>
      </c>
      <c r="E199" s="59" t="s">
        <v>120</v>
      </c>
      <c r="F199" s="59" t="s">
        <v>120</v>
      </c>
      <c r="G199" s="59" t="s">
        <v>120</v>
      </c>
      <c r="H199" s="59" t="s">
        <v>120</v>
      </c>
      <c r="I199" s="59" t="s">
        <v>120</v>
      </c>
      <c r="J199" s="59" t="s">
        <v>120</v>
      </c>
      <c r="K199" s="59" t="s">
        <v>120</v>
      </c>
      <c r="L199" s="59" t="s">
        <v>120</v>
      </c>
      <c r="M199" s="59" t="s">
        <v>120</v>
      </c>
      <c r="N199" s="59" t="s">
        <v>120</v>
      </c>
      <c r="O199" s="59" t="s">
        <v>120</v>
      </c>
      <c r="P199" s="59" t="s">
        <v>120</v>
      </c>
      <c r="Q199" s="59" t="s">
        <v>120</v>
      </c>
      <c r="R199" s="59" t="s">
        <v>120</v>
      </c>
      <c r="S199" s="59" t="s">
        <v>120</v>
      </c>
      <c r="T199" s="59" t="s">
        <v>121</v>
      </c>
      <c r="U199" s="59" t="s">
        <v>120</v>
      </c>
      <c r="V199" s="59" t="s">
        <v>120</v>
      </c>
      <c r="W199" s="59" t="s">
        <v>120</v>
      </c>
      <c r="X199" s="59" t="s">
        <v>120</v>
      </c>
      <c r="Y199" s="59" t="s">
        <v>121</v>
      </c>
      <c r="Z199" s="59" t="s">
        <v>120</v>
      </c>
      <c r="AA199" s="59" t="s">
        <v>120</v>
      </c>
      <c r="AB199" s="59" t="s">
        <v>92</v>
      </c>
      <c r="AC199" s="59" t="s">
        <v>120</v>
      </c>
      <c r="AD199" s="59" t="s">
        <v>120</v>
      </c>
      <c r="AE199" s="59" t="s">
        <v>120</v>
      </c>
      <c r="AF199" s="59" t="s">
        <v>120</v>
      </c>
      <c r="AG199" s="59" t="s">
        <v>120</v>
      </c>
      <c r="AH199" s="59" t="s">
        <v>120</v>
      </c>
      <c r="AI199" s="59"/>
      <c r="AJ199" s="59"/>
      <c r="AK199" s="59"/>
      <c r="AL199" s="59"/>
      <c r="AM199" s="59"/>
      <c r="AN199" s="59"/>
      <c r="AO199" s="59"/>
      <c r="AP199" s="58"/>
      <c r="AQ199" s="58"/>
      <c r="AR199" s="58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  <c r="BC199" s="58"/>
      <c r="BD199" s="28"/>
      <c r="BE199" s="28"/>
      <c r="BF199" s="28"/>
      <c r="BG199" s="56">
        <f t="shared" si="5"/>
        <v>30</v>
      </c>
      <c r="BH199" s="42">
        <f t="shared" si="6"/>
        <v>27</v>
      </c>
      <c r="BI199" s="43">
        <f t="shared" si="7"/>
        <v>0.9</v>
      </c>
      <c r="BJ199" s="44">
        <f t="shared" si="8"/>
        <v>2</v>
      </c>
      <c r="BK199" s="42">
        <f t="shared" si="9"/>
        <v>1</v>
      </c>
      <c r="BL199" s="28"/>
      <c r="BM199" s="28"/>
      <c r="BN199" s="28"/>
      <c r="BO199" s="28"/>
    </row>
    <row r="200">
      <c r="A200" s="14">
        <f t="shared" si="2"/>
        <v>197</v>
      </c>
      <c r="B200" s="82">
        <f t="shared" si="3"/>
        <v>45992</v>
      </c>
      <c r="C200" s="48">
        <v>46005.0</v>
      </c>
      <c r="D200" s="49">
        <f t="shared" si="4"/>
        <v>46005</v>
      </c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78"/>
      <c r="BE200" s="78"/>
      <c r="BF200" s="78"/>
      <c r="BG200" s="56">
        <f t="shared" si="5"/>
        <v>0</v>
      </c>
      <c r="BH200" s="42">
        <f t="shared" si="6"/>
        <v>0</v>
      </c>
      <c r="BI200" s="43" t="str">
        <f t="shared" si="7"/>
        <v>#DIV/0!</v>
      </c>
      <c r="BJ200" s="44">
        <f t="shared" si="8"/>
        <v>0</v>
      </c>
      <c r="BK200" s="42">
        <f t="shared" si="9"/>
        <v>0</v>
      </c>
      <c r="BL200" s="28"/>
      <c r="BM200" s="28"/>
      <c r="BN200" s="28"/>
      <c r="BO200" s="28"/>
    </row>
    <row r="201">
      <c r="A201" s="14">
        <f t="shared" si="2"/>
        <v>198</v>
      </c>
      <c r="B201" s="82">
        <f t="shared" si="3"/>
        <v>45992</v>
      </c>
      <c r="C201" s="48">
        <v>46006.0</v>
      </c>
      <c r="D201" s="57">
        <f t="shared" si="4"/>
        <v>46006</v>
      </c>
      <c r="E201" s="59" t="s">
        <v>121</v>
      </c>
      <c r="F201" s="59" t="s">
        <v>120</v>
      </c>
      <c r="G201" s="59" t="s">
        <v>121</v>
      </c>
      <c r="H201" s="59" t="s">
        <v>120</v>
      </c>
      <c r="I201" s="59" t="s">
        <v>120</v>
      </c>
      <c r="J201" s="59" t="s">
        <v>121</v>
      </c>
      <c r="K201" s="59" t="s">
        <v>120</v>
      </c>
      <c r="L201" s="59" t="s">
        <v>120</v>
      </c>
      <c r="M201" s="59" t="s">
        <v>120</v>
      </c>
      <c r="N201" s="59" t="s">
        <v>120</v>
      </c>
      <c r="O201" s="59" t="s">
        <v>120</v>
      </c>
      <c r="P201" s="59" t="s">
        <v>120</v>
      </c>
      <c r="Q201" s="59" t="s">
        <v>120</v>
      </c>
      <c r="R201" s="59" t="s">
        <v>120</v>
      </c>
      <c r="S201" s="59" t="s">
        <v>121</v>
      </c>
      <c r="T201" s="59" t="s">
        <v>121</v>
      </c>
      <c r="U201" s="59" t="s">
        <v>121</v>
      </c>
      <c r="V201" s="59" t="s">
        <v>120</v>
      </c>
      <c r="W201" s="59" t="s">
        <v>120</v>
      </c>
      <c r="X201" s="59" t="s">
        <v>120</v>
      </c>
      <c r="Y201" s="59" t="s">
        <v>121</v>
      </c>
      <c r="Z201" s="59" t="s">
        <v>121</v>
      </c>
      <c r="AA201" s="59" t="s">
        <v>120</v>
      </c>
      <c r="AB201" s="59" t="s">
        <v>92</v>
      </c>
      <c r="AC201" s="59" t="s">
        <v>120</v>
      </c>
      <c r="AD201" s="59" t="s">
        <v>121</v>
      </c>
      <c r="AE201" s="59" t="s">
        <v>120</v>
      </c>
      <c r="AF201" s="59" t="s">
        <v>120</v>
      </c>
      <c r="AG201" s="59" t="s">
        <v>120</v>
      </c>
      <c r="AH201" s="59" t="s">
        <v>120</v>
      </c>
      <c r="AI201" s="59"/>
      <c r="AJ201" s="59"/>
      <c r="AK201" s="59"/>
      <c r="AL201" s="59"/>
      <c r="AM201" s="59"/>
      <c r="AN201" s="59"/>
      <c r="AO201" s="59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28"/>
      <c r="BE201" s="28"/>
      <c r="BF201" s="28"/>
      <c r="BG201" s="56">
        <f t="shared" si="5"/>
        <v>30</v>
      </c>
      <c r="BH201" s="42">
        <f t="shared" si="6"/>
        <v>20</v>
      </c>
      <c r="BI201" s="43">
        <f t="shared" si="7"/>
        <v>0.6666666667</v>
      </c>
      <c r="BJ201" s="44">
        <f t="shared" si="8"/>
        <v>9</v>
      </c>
      <c r="BK201" s="42">
        <f t="shared" si="9"/>
        <v>1</v>
      </c>
      <c r="BL201" s="28"/>
      <c r="BM201" s="28"/>
      <c r="BN201" s="28"/>
      <c r="BO201" s="28"/>
    </row>
    <row r="202">
      <c r="A202" s="14">
        <f t="shared" si="2"/>
        <v>199</v>
      </c>
      <c r="B202" s="82">
        <f t="shared" si="3"/>
        <v>45992</v>
      </c>
      <c r="C202" s="48">
        <v>46007.0</v>
      </c>
      <c r="D202" s="57">
        <f t="shared" si="4"/>
        <v>46007</v>
      </c>
      <c r="E202" s="59" t="s">
        <v>121</v>
      </c>
      <c r="F202" s="59" t="s">
        <v>120</v>
      </c>
      <c r="G202" s="59" t="s">
        <v>120</v>
      </c>
      <c r="H202" s="59" t="s">
        <v>121</v>
      </c>
      <c r="I202" s="59" t="s">
        <v>120</v>
      </c>
      <c r="J202" s="59" t="s">
        <v>121</v>
      </c>
      <c r="K202" s="59" t="s">
        <v>120</v>
      </c>
      <c r="L202" s="59" t="s">
        <v>121</v>
      </c>
      <c r="M202" s="59" t="s">
        <v>120</v>
      </c>
      <c r="N202" s="59" t="s">
        <v>120</v>
      </c>
      <c r="O202" s="59" t="s">
        <v>120</v>
      </c>
      <c r="P202" s="59" t="s">
        <v>120</v>
      </c>
      <c r="Q202" s="59" t="s">
        <v>120</v>
      </c>
      <c r="R202" s="59" t="s">
        <v>121</v>
      </c>
      <c r="S202" s="59" t="s">
        <v>120</v>
      </c>
      <c r="T202" s="59" t="s">
        <v>121</v>
      </c>
      <c r="U202" s="59" t="s">
        <v>120</v>
      </c>
      <c r="V202" s="59" t="s">
        <v>120</v>
      </c>
      <c r="W202" s="59" t="s">
        <v>120</v>
      </c>
      <c r="X202" s="59" t="s">
        <v>120</v>
      </c>
      <c r="Y202" s="59" t="s">
        <v>121</v>
      </c>
      <c r="Z202" s="59" t="s">
        <v>120</v>
      </c>
      <c r="AA202" s="59" t="s">
        <v>120</v>
      </c>
      <c r="AB202" s="59" t="s">
        <v>92</v>
      </c>
      <c r="AC202" s="59" t="s">
        <v>121</v>
      </c>
      <c r="AD202" s="59" t="s">
        <v>120</v>
      </c>
      <c r="AE202" s="59" t="s">
        <v>121</v>
      </c>
      <c r="AF202" s="59" t="s">
        <v>120</v>
      </c>
      <c r="AG202" s="59" t="s">
        <v>120</v>
      </c>
      <c r="AH202" s="59" t="s">
        <v>120</v>
      </c>
      <c r="AI202" s="59"/>
      <c r="AJ202" s="59"/>
      <c r="AK202" s="59"/>
      <c r="AL202" s="59"/>
      <c r="AM202" s="59"/>
      <c r="AN202" s="59"/>
      <c r="AO202" s="59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28"/>
      <c r="BE202" s="28"/>
      <c r="BF202" s="28"/>
      <c r="BG202" s="56">
        <f t="shared" si="5"/>
        <v>30</v>
      </c>
      <c r="BH202" s="42">
        <f t="shared" si="6"/>
        <v>20</v>
      </c>
      <c r="BI202" s="43">
        <f t="shared" si="7"/>
        <v>0.6666666667</v>
      </c>
      <c r="BJ202" s="44">
        <f t="shared" si="8"/>
        <v>9</v>
      </c>
      <c r="BK202" s="42">
        <f t="shared" si="9"/>
        <v>1</v>
      </c>
      <c r="BL202" s="28"/>
      <c r="BM202" s="28"/>
      <c r="BN202" s="28"/>
      <c r="BO202" s="28"/>
    </row>
    <row r="203">
      <c r="A203" s="14">
        <f t="shared" si="2"/>
        <v>200</v>
      </c>
      <c r="B203" s="82">
        <f t="shared" si="3"/>
        <v>45992</v>
      </c>
      <c r="C203" s="48">
        <v>46008.0</v>
      </c>
      <c r="D203" s="57">
        <f t="shared" si="4"/>
        <v>46008</v>
      </c>
      <c r="E203" s="58" t="s">
        <v>121</v>
      </c>
      <c r="F203" s="58" t="s">
        <v>120</v>
      </c>
      <c r="G203" s="58" t="s">
        <v>120</v>
      </c>
      <c r="H203" s="58" t="s">
        <v>121</v>
      </c>
      <c r="I203" s="58" t="s">
        <v>120</v>
      </c>
      <c r="J203" s="58" t="s">
        <v>120</v>
      </c>
      <c r="K203" s="58" t="s">
        <v>120</v>
      </c>
      <c r="L203" s="58" t="s">
        <v>120</v>
      </c>
      <c r="M203" s="58" t="s">
        <v>120</v>
      </c>
      <c r="N203" s="58" t="s">
        <v>120</v>
      </c>
      <c r="O203" s="58" t="s">
        <v>120</v>
      </c>
      <c r="P203" s="58" t="s">
        <v>120</v>
      </c>
      <c r="Q203" s="58" t="s">
        <v>120</v>
      </c>
      <c r="R203" s="58" t="s">
        <v>120</v>
      </c>
      <c r="S203" s="58" t="s">
        <v>121</v>
      </c>
      <c r="T203" s="58" t="s">
        <v>121</v>
      </c>
      <c r="U203" s="58" t="s">
        <v>121</v>
      </c>
      <c r="V203" s="58" t="s">
        <v>121</v>
      </c>
      <c r="W203" s="58" t="s">
        <v>120</v>
      </c>
      <c r="X203" s="58" t="s">
        <v>120</v>
      </c>
      <c r="Y203" s="58" t="s">
        <v>121</v>
      </c>
      <c r="Z203" s="58" t="s">
        <v>121</v>
      </c>
      <c r="AA203" s="58" t="s">
        <v>121</v>
      </c>
      <c r="AB203" s="58" t="s">
        <v>92</v>
      </c>
      <c r="AC203" s="58" t="s">
        <v>120</v>
      </c>
      <c r="AD203" s="58" t="s">
        <v>120</v>
      </c>
      <c r="AE203" s="58" t="s">
        <v>120</v>
      </c>
      <c r="AF203" s="58" t="s">
        <v>121</v>
      </c>
      <c r="AG203" s="58" t="s">
        <v>121</v>
      </c>
      <c r="AH203" s="58" t="s">
        <v>121</v>
      </c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28"/>
      <c r="BE203" s="28"/>
      <c r="BF203" s="28"/>
      <c r="BG203" s="56">
        <f t="shared" si="5"/>
        <v>30</v>
      </c>
      <c r="BH203" s="42">
        <f t="shared" si="6"/>
        <v>17</v>
      </c>
      <c r="BI203" s="43">
        <f t="shared" si="7"/>
        <v>0.5666666667</v>
      </c>
      <c r="BJ203" s="44">
        <f t="shared" si="8"/>
        <v>12</v>
      </c>
      <c r="BK203" s="42">
        <f t="shared" si="9"/>
        <v>1</v>
      </c>
      <c r="BL203" s="28"/>
      <c r="BM203" s="28"/>
      <c r="BN203" s="28"/>
      <c r="BO203" s="28"/>
    </row>
    <row r="204">
      <c r="A204" s="14">
        <f t="shared" si="2"/>
        <v>201</v>
      </c>
      <c r="B204" s="82">
        <f t="shared" si="3"/>
        <v>45992</v>
      </c>
      <c r="C204" s="48">
        <v>46009.0</v>
      </c>
      <c r="D204" s="57">
        <f t="shared" si="4"/>
        <v>46009</v>
      </c>
      <c r="E204" s="59" t="s">
        <v>121</v>
      </c>
      <c r="F204" s="59" t="s">
        <v>120</v>
      </c>
      <c r="G204" s="59" t="s">
        <v>120</v>
      </c>
      <c r="H204" s="59" t="s">
        <v>121</v>
      </c>
      <c r="I204" s="59" t="s">
        <v>120</v>
      </c>
      <c r="J204" s="59" t="s">
        <v>120</v>
      </c>
      <c r="K204" s="59" t="s">
        <v>120</v>
      </c>
      <c r="L204" s="59" t="s">
        <v>120</v>
      </c>
      <c r="M204" s="59" t="s">
        <v>120</v>
      </c>
      <c r="N204" s="59" t="s">
        <v>120</v>
      </c>
      <c r="O204" s="59" t="s">
        <v>120</v>
      </c>
      <c r="P204" s="59" t="s">
        <v>120</v>
      </c>
      <c r="Q204" s="59" t="s">
        <v>120</v>
      </c>
      <c r="R204" s="59" t="s">
        <v>120</v>
      </c>
      <c r="S204" s="59" t="s">
        <v>121</v>
      </c>
      <c r="T204" s="59" t="s">
        <v>121</v>
      </c>
      <c r="U204" s="59" t="s">
        <v>121</v>
      </c>
      <c r="V204" s="59" t="s">
        <v>121</v>
      </c>
      <c r="W204" s="59" t="s">
        <v>120</v>
      </c>
      <c r="X204" s="59" t="s">
        <v>121</v>
      </c>
      <c r="Y204" s="59" t="s">
        <v>121</v>
      </c>
      <c r="Z204" s="59" t="s">
        <v>121</v>
      </c>
      <c r="AA204" s="59" t="s">
        <v>121</v>
      </c>
      <c r="AB204" s="59" t="s">
        <v>92</v>
      </c>
      <c r="AC204" s="59" t="s">
        <v>121</v>
      </c>
      <c r="AD204" s="59" t="s">
        <v>120</v>
      </c>
      <c r="AE204" s="59" t="s">
        <v>120</v>
      </c>
      <c r="AF204" s="59" t="s">
        <v>120</v>
      </c>
      <c r="AG204" s="59" t="s">
        <v>120</v>
      </c>
      <c r="AH204" s="59" t="s">
        <v>120</v>
      </c>
      <c r="AI204" s="59"/>
      <c r="AJ204" s="59"/>
      <c r="AK204" s="59"/>
      <c r="AL204" s="59"/>
      <c r="AM204" s="59"/>
      <c r="AN204" s="59"/>
      <c r="AO204" s="59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28"/>
      <c r="BE204" s="28"/>
      <c r="BF204" s="28"/>
      <c r="BG204" s="56">
        <f t="shared" si="5"/>
        <v>30</v>
      </c>
      <c r="BH204" s="42">
        <f t="shared" si="6"/>
        <v>18</v>
      </c>
      <c r="BI204" s="43">
        <f t="shared" si="7"/>
        <v>0.6</v>
      </c>
      <c r="BJ204" s="44">
        <f t="shared" si="8"/>
        <v>11</v>
      </c>
      <c r="BK204" s="42">
        <f t="shared" si="9"/>
        <v>1</v>
      </c>
      <c r="BL204" s="28"/>
      <c r="BM204" s="28"/>
      <c r="BN204" s="28"/>
      <c r="BO204" s="28"/>
    </row>
    <row r="205">
      <c r="A205" s="14">
        <f t="shared" si="2"/>
        <v>202</v>
      </c>
      <c r="B205" s="82">
        <f t="shared" si="3"/>
        <v>45992</v>
      </c>
      <c r="C205" s="48">
        <v>46010.0</v>
      </c>
      <c r="D205" s="57">
        <f t="shared" si="4"/>
        <v>46010</v>
      </c>
      <c r="E205" s="59" t="s">
        <v>120</v>
      </c>
      <c r="F205" s="59" t="s">
        <v>121</v>
      </c>
      <c r="G205" s="59" t="s">
        <v>121</v>
      </c>
      <c r="H205" s="59" t="s">
        <v>121</v>
      </c>
      <c r="I205" s="59" t="s">
        <v>120</v>
      </c>
      <c r="J205" s="59" t="s">
        <v>120</v>
      </c>
      <c r="K205" s="59" t="s">
        <v>120</v>
      </c>
      <c r="L205" s="59" t="s">
        <v>120</v>
      </c>
      <c r="M205" s="59" t="s">
        <v>120</v>
      </c>
      <c r="N205" s="59" t="s">
        <v>120</v>
      </c>
      <c r="O205" s="59" t="s">
        <v>120</v>
      </c>
      <c r="P205" s="59" t="s">
        <v>120</v>
      </c>
      <c r="Q205" s="59" t="s">
        <v>120</v>
      </c>
      <c r="R205" s="59" t="s">
        <v>120</v>
      </c>
      <c r="S205" s="59" t="s">
        <v>121</v>
      </c>
      <c r="T205" s="59" t="s">
        <v>121</v>
      </c>
      <c r="U205" s="59" t="s">
        <v>121</v>
      </c>
      <c r="V205" s="59" t="s">
        <v>121</v>
      </c>
      <c r="W205" s="59" t="s">
        <v>120</v>
      </c>
      <c r="X205" s="59" t="s">
        <v>120</v>
      </c>
      <c r="Y205" s="59" t="s">
        <v>121</v>
      </c>
      <c r="Z205" s="59" t="s">
        <v>121</v>
      </c>
      <c r="AA205" s="59" t="s">
        <v>121</v>
      </c>
      <c r="AB205" s="59" t="s">
        <v>92</v>
      </c>
      <c r="AC205" s="59" t="s">
        <v>120</v>
      </c>
      <c r="AD205" s="59" t="s">
        <v>120</v>
      </c>
      <c r="AE205" s="59" t="s">
        <v>121</v>
      </c>
      <c r="AF205" s="59" t="s">
        <v>120</v>
      </c>
      <c r="AG205" s="59" t="s">
        <v>120</v>
      </c>
      <c r="AH205" s="59" t="s">
        <v>120</v>
      </c>
      <c r="AI205" s="59"/>
      <c r="AJ205" s="59"/>
      <c r="AK205" s="59"/>
      <c r="AL205" s="59"/>
      <c r="AM205" s="59"/>
      <c r="AN205" s="59"/>
      <c r="AO205" s="59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28"/>
      <c r="BE205" s="28"/>
      <c r="BF205" s="28"/>
      <c r="BG205" s="56">
        <f t="shared" si="5"/>
        <v>30</v>
      </c>
      <c r="BH205" s="42">
        <f t="shared" si="6"/>
        <v>18</v>
      </c>
      <c r="BI205" s="43">
        <f t="shared" si="7"/>
        <v>0.6</v>
      </c>
      <c r="BJ205" s="44">
        <f t="shared" si="8"/>
        <v>11</v>
      </c>
      <c r="BK205" s="42">
        <f t="shared" si="9"/>
        <v>1</v>
      </c>
      <c r="BL205" s="28"/>
      <c r="BM205" s="28"/>
      <c r="BN205" s="28"/>
      <c r="BO205" s="28"/>
    </row>
    <row r="206">
      <c r="A206" s="14">
        <f t="shared" si="2"/>
        <v>203</v>
      </c>
      <c r="B206" s="82">
        <f t="shared" si="3"/>
        <v>45992</v>
      </c>
      <c r="C206" s="48">
        <v>46011.0</v>
      </c>
      <c r="D206" s="57">
        <f t="shared" si="4"/>
        <v>46011</v>
      </c>
      <c r="E206" s="59" t="s">
        <v>121</v>
      </c>
      <c r="F206" s="59" t="s">
        <v>120</v>
      </c>
      <c r="G206" s="59" t="s">
        <v>120</v>
      </c>
      <c r="H206" s="59" t="s">
        <v>121</v>
      </c>
      <c r="I206" s="59" t="s">
        <v>120</v>
      </c>
      <c r="J206" s="59" t="s">
        <v>120</v>
      </c>
      <c r="K206" s="59" t="s">
        <v>120</v>
      </c>
      <c r="L206" s="59" t="s">
        <v>120</v>
      </c>
      <c r="M206" s="59" t="s">
        <v>121</v>
      </c>
      <c r="N206" s="59" t="s">
        <v>120</v>
      </c>
      <c r="O206" s="59" t="s">
        <v>120</v>
      </c>
      <c r="P206" s="59" t="s">
        <v>120</v>
      </c>
      <c r="Q206" s="59" t="s">
        <v>120</v>
      </c>
      <c r="R206" s="59" t="s">
        <v>120</v>
      </c>
      <c r="S206" s="59" t="s">
        <v>121</v>
      </c>
      <c r="T206" s="59" t="s">
        <v>121</v>
      </c>
      <c r="U206" s="59" t="s">
        <v>121</v>
      </c>
      <c r="V206" s="59" t="s">
        <v>120</v>
      </c>
      <c r="W206" s="59" t="s">
        <v>120</v>
      </c>
      <c r="X206" s="59" t="s">
        <v>120</v>
      </c>
      <c r="Y206" s="59" t="s">
        <v>121</v>
      </c>
      <c r="Z206" s="59" t="s">
        <v>121</v>
      </c>
      <c r="AA206" s="59" t="s">
        <v>120</v>
      </c>
      <c r="AB206" s="59" t="s">
        <v>92</v>
      </c>
      <c r="AC206" s="59" t="s">
        <v>120</v>
      </c>
      <c r="AD206" s="59" t="s">
        <v>120</v>
      </c>
      <c r="AE206" s="59" t="s">
        <v>120</v>
      </c>
      <c r="AF206" s="59" t="s">
        <v>120</v>
      </c>
      <c r="AG206" s="59" t="s">
        <v>120</v>
      </c>
      <c r="AH206" s="59" t="s">
        <v>120</v>
      </c>
      <c r="AI206" s="59"/>
      <c r="AJ206" s="59"/>
      <c r="AK206" s="59"/>
      <c r="AL206" s="59"/>
      <c r="AM206" s="59"/>
      <c r="AN206" s="59"/>
      <c r="AO206" s="59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28"/>
      <c r="BE206" s="28"/>
      <c r="BF206" s="28"/>
      <c r="BG206" s="56">
        <f t="shared" si="5"/>
        <v>30</v>
      </c>
      <c r="BH206" s="42">
        <f t="shared" si="6"/>
        <v>21</v>
      </c>
      <c r="BI206" s="43">
        <f t="shared" si="7"/>
        <v>0.7</v>
      </c>
      <c r="BJ206" s="44">
        <f t="shared" si="8"/>
        <v>8</v>
      </c>
      <c r="BK206" s="42">
        <f t="shared" si="9"/>
        <v>1</v>
      </c>
      <c r="BL206" s="28"/>
      <c r="BM206" s="28"/>
      <c r="BN206" s="28"/>
      <c r="BO206" s="28"/>
    </row>
    <row r="207">
      <c r="A207" s="14">
        <f t="shared" si="2"/>
        <v>204</v>
      </c>
      <c r="B207" s="82">
        <f t="shared" si="3"/>
        <v>45992</v>
      </c>
      <c r="C207" s="48">
        <v>46012.0</v>
      </c>
      <c r="D207" s="49">
        <f t="shared" si="4"/>
        <v>46012</v>
      </c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/>
      <c r="BB207" s="50"/>
      <c r="BC207" s="50"/>
      <c r="BD207" s="78"/>
      <c r="BE207" s="78"/>
      <c r="BF207" s="78"/>
      <c r="BG207" s="56">
        <f t="shared" si="5"/>
        <v>0</v>
      </c>
      <c r="BH207" s="42">
        <f t="shared" si="6"/>
        <v>0</v>
      </c>
      <c r="BI207" s="43" t="str">
        <f t="shared" si="7"/>
        <v>#DIV/0!</v>
      </c>
      <c r="BJ207" s="44">
        <f t="shared" si="8"/>
        <v>0</v>
      </c>
      <c r="BK207" s="42">
        <f t="shared" si="9"/>
        <v>0</v>
      </c>
      <c r="BL207" s="28"/>
      <c r="BM207" s="28"/>
      <c r="BN207" s="28"/>
      <c r="BO207" s="28"/>
    </row>
    <row r="208">
      <c r="A208" s="14">
        <f t="shared" si="2"/>
        <v>205</v>
      </c>
      <c r="B208" s="82">
        <f t="shared" si="3"/>
        <v>45992</v>
      </c>
      <c r="C208" s="48">
        <v>46013.0</v>
      </c>
      <c r="D208" s="57">
        <f t="shared" si="4"/>
        <v>46013</v>
      </c>
      <c r="E208" s="59" t="s">
        <v>120</v>
      </c>
      <c r="F208" s="59" t="s">
        <v>120</v>
      </c>
      <c r="G208" s="59" t="s">
        <v>120</v>
      </c>
      <c r="H208" s="59" t="s">
        <v>120</v>
      </c>
      <c r="I208" s="59" t="s">
        <v>120</v>
      </c>
      <c r="J208" s="59" t="s">
        <v>120</v>
      </c>
      <c r="K208" s="59" t="s">
        <v>120</v>
      </c>
      <c r="L208" s="59" t="s">
        <v>120</v>
      </c>
      <c r="M208" s="59" t="s">
        <v>120</v>
      </c>
      <c r="N208" s="59" t="s">
        <v>120</v>
      </c>
      <c r="O208" s="59" t="s">
        <v>120</v>
      </c>
      <c r="P208" s="59" t="s">
        <v>120</v>
      </c>
      <c r="Q208" s="59" t="s">
        <v>120</v>
      </c>
      <c r="R208" s="59" t="s">
        <v>120</v>
      </c>
      <c r="S208" s="59" t="s">
        <v>120</v>
      </c>
      <c r="T208" s="59" t="s">
        <v>121</v>
      </c>
      <c r="U208" s="59" t="s">
        <v>120</v>
      </c>
      <c r="V208" s="59" t="s">
        <v>120</v>
      </c>
      <c r="W208" s="59" t="s">
        <v>120</v>
      </c>
      <c r="X208" s="59" t="s">
        <v>120</v>
      </c>
      <c r="Y208" s="59" t="s">
        <v>121</v>
      </c>
      <c r="Z208" s="59" t="s">
        <v>120</v>
      </c>
      <c r="AA208" s="59" t="s">
        <v>120</v>
      </c>
      <c r="AB208" s="59" t="s">
        <v>92</v>
      </c>
      <c r="AC208" s="59" t="s">
        <v>121</v>
      </c>
      <c r="AD208" s="59" t="s">
        <v>120</v>
      </c>
      <c r="AE208" s="59" t="s">
        <v>120</v>
      </c>
      <c r="AF208" s="59" t="s">
        <v>120</v>
      </c>
      <c r="AG208" s="59" t="s">
        <v>120</v>
      </c>
      <c r="AH208" s="59" t="s">
        <v>120</v>
      </c>
      <c r="AI208" s="59"/>
      <c r="AJ208" s="59"/>
      <c r="AK208" s="59"/>
      <c r="AL208" s="59"/>
      <c r="AM208" s="59"/>
      <c r="AN208" s="59"/>
      <c r="AO208" s="59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28"/>
      <c r="BE208" s="28"/>
      <c r="BF208" s="28"/>
      <c r="BG208" s="56">
        <f t="shared" si="5"/>
        <v>30</v>
      </c>
      <c r="BH208" s="42">
        <f t="shared" si="6"/>
        <v>26</v>
      </c>
      <c r="BI208" s="43">
        <f t="shared" si="7"/>
        <v>0.8666666667</v>
      </c>
      <c r="BJ208" s="44">
        <f t="shared" si="8"/>
        <v>3</v>
      </c>
      <c r="BK208" s="42">
        <f t="shared" si="9"/>
        <v>1</v>
      </c>
      <c r="BL208" s="28"/>
      <c r="BM208" s="28"/>
      <c r="BN208" s="28"/>
      <c r="BO208" s="28"/>
    </row>
    <row r="209">
      <c r="A209" s="14">
        <f t="shared" si="2"/>
        <v>206</v>
      </c>
      <c r="B209" s="82">
        <f t="shared" si="3"/>
        <v>45992</v>
      </c>
      <c r="C209" s="48">
        <v>46014.0</v>
      </c>
      <c r="D209" s="57">
        <f t="shared" si="4"/>
        <v>46014</v>
      </c>
      <c r="E209" s="59" t="s">
        <v>120</v>
      </c>
      <c r="F209" s="59" t="s">
        <v>120</v>
      </c>
      <c r="G209" s="59" t="s">
        <v>120</v>
      </c>
      <c r="H209" s="59" t="s">
        <v>121</v>
      </c>
      <c r="I209" s="59" t="s">
        <v>120</v>
      </c>
      <c r="J209" s="59" t="s">
        <v>120</v>
      </c>
      <c r="K209" s="59" t="s">
        <v>120</v>
      </c>
      <c r="L209" s="59" t="s">
        <v>120</v>
      </c>
      <c r="M209" s="59" t="s">
        <v>120</v>
      </c>
      <c r="N209" s="59" t="s">
        <v>120</v>
      </c>
      <c r="O209" s="59" t="s">
        <v>120</v>
      </c>
      <c r="P209" s="59" t="s">
        <v>121</v>
      </c>
      <c r="Q209" s="59" t="s">
        <v>120</v>
      </c>
      <c r="R209" s="59" t="s">
        <v>121</v>
      </c>
      <c r="S209" s="59" t="s">
        <v>120</v>
      </c>
      <c r="T209" s="59" t="s">
        <v>121</v>
      </c>
      <c r="U209" s="59" t="s">
        <v>120</v>
      </c>
      <c r="V209" s="59" t="s">
        <v>120</v>
      </c>
      <c r="W209" s="59" t="s">
        <v>120</v>
      </c>
      <c r="X209" s="59" t="s">
        <v>120</v>
      </c>
      <c r="Y209" s="59" t="s">
        <v>121</v>
      </c>
      <c r="Z209" s="59" t="s">
        <v>121</v>
      </c>
      <c r="AA209" s="59" t="s">
        <v>120</v>
      </c>
      <c r="AB209" s="59" t="s">
        <v>92</v>
      </c>
      <c r="AC209" s="59" t="s">
        <v>121</v>
      </c>
      <c r="AD209" s="59" t="s">
        <v>120</v>
      </c>
      <c r="AE209" s="59" t="s">
        <v>120</v>
      </c>
      <c r="AF209" s="59" t="s">
        <v>120</v>
      </c>
      <c r="AG209" s="59" t="s">
        <v>120</v>
      </c>
      <c r="AH209" s="59" t="s">
        <v>120</v>
      </c>
      <c r="AI209" s="59"/>
      <c r="AJ209" s="59"/>
      <c r="AK209" s="59"/>
      <c r="AL209" s="59"/>
      <c r="AM209" s="59"/>
      <c r="AN209" s="59"/>
      <c r="AO209" s="59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28"/>
      <c r="BE209" s="28"/>
      <c r="BF209" s="28"/>
      <c r="BG209" s="56">
        <f t="shared" si="5"/>
        <v>30</v>
      </c>
      <c r="BH209" s="42">
        <f t="shared" si="6"/>
        <v>22</v>
      </c>
      <c r="BI209" s="43">
        <f t="shared" si="7"/>
        <v>0.7333333333</v>
      </c>
      <c r="BJ209" s="44">
        <f t="shared" si="8"/>
        <v>7</v>
      </c>
      <c r="BK209" s="42">
        <f t="shared" si="9"/>
        <v>1</v>
      </c>
      <c r="BL209" s="28"/>
      <c r="BM209" s="28"/>
      <c r="BN209" s="28"/>
      <c r="BO209" s="28"/>
    </row>
    <row r="210">
      <c r="A210" s="14">
        <f t="shared" si="2"/>
        <v>207</v>
      </c>
      <c r="B210" s="82">
        <f t="shared" si="3"/>
        <v>45992</v>
      </c>
      <c r="C210" s="48">
        <v>46015.0</v>
      </c>
      <c r="D210" s="57">
        <f t="shared" si="4"/>
        <v>46015</v>
      </c>
      <c r="E210" s="59" t="s">
        <v>121</v>
      </c>
      <c r="F210" s="59" t="s">
        <v>120</v>
      </c>
      <c r="G210" s="59" t="s">
        <v>120</v>
      </c>
      <c r="H210" s="59" t="s">
        <v>121</v>
      </c>
      <c r="I210" s="59" t="s">
        <v>120</v>
      </c>
      <c r="J210" s="59" t="s">
        <v>120</v>
      </c>
      <c r="K210" s="59" t="s">
        <v>120</v>
      </c>
      <c r="L210" s="59" t="s">
        <v>120</v>
      </c>
      <c r="M210" s="59" t="s">
        <v>121</v>
      </c>
      <c r="N210" s="59" t="s">
        <v>120</v>
      </c>
      <c r="O210" s="59" t="s">
        <v>120</v>
      </c>
      <c r="P210" s="59" t="s">
        <v>120</v>
      </c>
      <c r="Q210" s="59" t="s">
        <v>120</v>
      </c>
      <c r="R210" s="59" t="s">
        <v>120</v>
      </c>
      <c r="S210" s="59" t="s">
        <v>121</v>
      </c>
      <c r="T210" s="59" t="s">
        <v>121</v>
      </c>
      <c r="U210" s="59" t="s">
        <v>121</v>
      </c>
      <c r="V210" s="59" t="s">
        <v>120</v>
      </c>
      <c r="W210" s="59" t="s">
        <v>120</v>
      </c>
      <c r="X210" s="59" t="s">
        <v>120</v>
      </c>
      <c r="Y210" s="59" t="s">
        <v>121</v>
      </c>
      <c r="Z210" s="59" t="s">
        <v>121</v>
      </c>
      <c r="AA210" s="59" t="s">
        <v>120</v>
      </c>
      <c r="AB210" s="59" t="s">
        <v>92</v>
      </c>
      <c r="AC210" s="59" t="s">
        <v>120</v>
      </c>
      <c r="AD210" s="59" t="s">
        <v>120</v>
      </c>
      <c r="AE210" s="59" t="s">
        <v>120</v>
      </c>
      <c r="AF210" s="59" t="s">
        <v>120</v>
      </c>
      <c r="AG210" s="59" t="s">
        <v>120</v>
      </c>
      <c r="AH210" s="59" t="s">
        <v>120</v>
      </c>
      <c r="AI210" s="59"/>
      <c r="AJ210" s="59"/>
      <c r="AK210" s="59"/>
      <c r="AL210" s="59"/>
      <c r="AM210" s="59"/>
      <c r="AN210" s="59"/>
      <c r="AO210" s="59"/>
      <c r="AP210" s="58"/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8"/>
      <c r="BB210" s="58"/>
      <c r="BC210" s="58"/>
      <c r="BD210" s="28"/>
      <c r="BE210" s="28"/>
      <c r="BF210" s="28"/>
      <c r="BG210" s="56">
        <f t="shared" si="5"/>
        <v>30</v>
      </c>
      <c r="BH210" s="42">
        <f t="shared" si="6"/>
        <v>21</v>
      </c>
      <c r="BI210" s="43">
        <f t="shared" si="7"/>
        <v>0.7</v>
      </c>
      <c r="BJ210" s="44">
        <f t="shared" si="8"/>
        <v>8</v>
      </c>
      <c r="BK210" s="42">
        <f t="shared" si="9"/>
        <v>1</v>
      </c>
      <c r="BL210" s="28"/>
      <c r="BM210" s="28"/>
      <c r="BN210" s="28"/>
      <c r="BO210" s="28"/>
    </row>
    <row r="211">
      <c r="A211" s="14">
        <f t="shared" si="2"/>
        <v>208</v>
      </c>
      <c r="B211" s="82">
        <f t="shared" si="3"/>
        <v>45992</v>
      </c>
      <c r="C211" s="48">
        <v>46016.0</v>
      </c>
      <c r="D211" s="57">
        <f t="shared" si="4"/>
        <v>46016</v>
      </c>
      <c r="E211" s="59" t="s">
        <v>121</v>
      </c>
      <c r="F211" s="59" t="s">
        <v>120</v>
      </c>
      <c r="G211" s="59" t="s">
        <v>120</v>
      </c>
      <c r="H211" s="59" t="s">
        <v>121</v>
      </c>
      <c r="I211" s="59" t="s">
        <v>120</v>
      </c>
      <c r="J211" s="59" t="s">
        <v>121</v>
      </c>
      <c r="K211" s="59" t="s">
        <v>120</v>
      </c>
      <c r="L211" s="59" t="s">
        <v>120</v>
      </c>
      <c r="M211" s="59" t="s">
        <v>120</v>
      </c>
      <c r="N211" s="59" t="s">
        <v>120</v>
      </c>
      <c r="O211" s="59" t="s">
        <v>120</v>
      </c>
      <c r="P211" s="59" t="s">
        <v>121</v>
      </c>
      <c r="Q211" s="59" t="s">
        <v>120</v>
      </c>
      <c r="R211" s="59" t="s">
        <v>120</v>
      </c>
      <c r="S211" s="59" t="s">
        <v>120</v>
      </c>
      <c r="T211" s="59" t="s">
        <v>121</v>
      </c>
      <c r="U211" s="59" t="s">
        <v>120</v>
      </c>
      <c r="V211" s="59" t="s">
        <v>121</v>
      </c>
      <c r="W211" s="59" t="s">
        <v>120</v>
      </c>
      <c r="X211" s="59" t="s">
        <v>121</v>
      </c>
      <c r="Y211" s="59" t="s">
        <v>121</v>
      </c>
      <c r="Z211" s="59" t="s">
        <v>121</v>
      </c>
      <c r="AA211" s="59" t="s">
        <v>121</v>
      </c>
      <c r="AB211" s="59" t="s">
        <v>92</v>
      </c>
      <c r="AC211" s="59" t="s">
        <v>120</v>
      </c>
      <c r="AD211" s="59" t="s">
        <v>120</v>
      </c>
      <c r="AE211" s="59" t="s">
        <v>120</v>
      </c>
      <c r="AF211" s="59" t="s">
        <v>121</v>
      </c>
      <c r="AG211" s="59" t="s">
        <v>121</v>
      </c>
      <c r="AH211" s="59" t="s">
        <v>120</v>
      </c>
      <c r="AI211" s="59"/>
      <c r="AJ211" s="59"/>
      <c r="AK211" s="59"/>
      <c r="AL211" s="59"/>
      <c r="AM211" s="59"/>
      <c r="AN211" s="59"/>
      <c r="AO211" s="59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  <c r="BC211" s="58"/>
      <c r="BD211" s="28"/>
      <c r="BE211" s="28"/>
      <c r="BF211" s="28"/>
      <c r="BG211" s="56">
        <f t="shared" si="5"/>
        <v>30</v>
      </c>
      <c r="BH211" s="42">
        <f t="shared" si="6"/>
        <v>17</v>
      </c>
      <c r="BI211" s="43">
        <f t="shared" si="7"/>
        <v>0.5666666667</v>
      </c>
      <c r="BJ211" s="44">
        <f t="shared" si="8"/>
        <v>12</v>
      </c>
      <c r="BK211" s="42">
        <f t="shared" si="9"/>
        <v>1</v>
      </c>
      <c r="BL211" s="28"/>
      <c r="BM211" s="28"/>
      <c r="BN211" s="28"/>
      <c r="BO211" s="28"/>
    </row>
    <row r="212">
      <c r="A212" s="14">
        <f t="shared" si="2"/>
        <v>209</v>
      </c>
      <c r="B212" s="82">
        <f t="shared" si="3"/>
        <v>45992</v>
      </c>
      <c r="C212" s="48">
        <v>46017.0</v>
      </c>
      <c r="D212" s="57">
        <f t="shared" si="4"/>
        <v>46017</v>
      </c>
      <c r="E212" s="59" t="s">
        <v>121</v>
      </c>
      <c r="F212" s="59" t="s">
        <v>120</v>
      </c>
      <c r="G212" s="59" t="s">
        <v>120</v>
      </c>
      <c r="H212" s="59" t="s">
        <v>121</v>
      </c>
      <c r="I212" s="59" t="s">
        <v>120</v>
      </c>
      <c r="J212" s="59" t="s">
        <v>120</v>
      </c>
      <c r="K212" s="59" t="s">
        <v>120</v>
      </c>
      <c r="L212" s="59" t="s">
        <v>120</v>
      </c>
      <c r="M212" s="59" t="s">
        <v>120</v>
      </c>
      <c r="N212" s="59" t="s">
        <v>120</v>
      </c>
      <c r="O212" s="59" t="s">
        <v>120</v>
      </c>
      <c r="P212" s="59" t="s">
        <v>120</v>
      </c>
      <c r="Q212" s="59" t="s">
        <v>120</v>
      </c>
      <c r="R212" s="59" t="s">
        <v>120</v>
      </c>
      <c r="S212" s="59" t="s">
        <v>120</v>
      </c>
      <c r="T212" s="59" t="s">
        <v>121</v>
      </c>
      <c r="U212" s="59" t="s">
        <v>120</v>
      </c>
      <c r="V212" s="59" t="s">
        <v>120</v>
      </c>
      <c r="W212" s="59" t="s">
        <v>120</v>
      </c>
      <c r="X212" s="59" t="s">
        <v>120</v>
      </c>
      <c r="Y212" s="59" t="s">
        <v>121</v>
      </c>
      <c r="Z212" s="59" t="s">
        <v>121</v>
      </c>
      <c r="AA212" s="59" t="s">
        <v>120</v>
      </c>
      <c r="AB212" s="59" t="s">
        <v>92</v>
      </c>
      <c r="AC212" s="59" t="s">
        <v>120</v>
      </c>
      <c r="AD212" s="59" t="s">
        <v>120</v>
      </c>
      <c r="AE212" s="59" t="s">
        <v>120</v>
      </c>
      <c r="AF212" s="59" t="s">
        <v>121</v>
      </c>
      <c r="AG212" s="59" t="s">
        <v>121</v>
      </c>
      <c r="AH212" s="59" t="s">
        <v>121</v>
      </c>
      <c r="AI212" s="59"/>
      <c r="AJ212" s="59"/>
      <c r="AK212" s="59"/>
      <c r="AL212" s="59"/>
      <c r="AM212" s="59"/>
      <c r="AN212" s="59"/>
      <c r="AO212" s="59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28"/>
      <c r="BE212" s="28"/>
      <c r="BF212" s="28"/>
      <c r="BG212" s="56">
        <f t="shared" si="5"/>
        <v>30</v>
      </c>
      <c r="BH212" s="42">
        <f t="shared" si="6"/>
        <v>21</v>
      </c>
      <c r="BI212" s="43">
        <f t="shared" si="7"/>
        <v>0.7</v>
      </c>
      <c r="BJ212" s="44">
        <f t="shared" si="8"/>
        <v>8</v>
      </c>
      <c r="BK212" s="42">
        <f t="shared" si="9"/>
        <v>1</v>
      </c>
      <c r="BL212" s="28"/>
      <c r="BM212" s="28"/>
      <c r="BN212" s="28"/>
      <c r="BO212" s="28"/>
    </row>
    <row r="213">
      <c r="A213" s="14">
        <f t="shared" si="2"/>
        <v>210</v>
      </c>
      <c r="B213" s="82">
        <f t="shared" si="3"/>
        <v>45992</v>
      </c>
      <c r="C213" s="48">
        <v>46018.0</v>
      </c>
      <c r="D213" s="57">
        <f t="shared" si="4"/>
        <v>46018</v>
      </c>
      <c r="E213" s="59" t="s">
        <v>121</v>
      </c>
      <c r="F213" s="59" t="s">
        <v>120</v>
      </c>
      <c r="G213" s="59" t="s">
        <v>120</v>
      </c>
      <c r="H213" s="59" t="s">
        <v>121</v>
      </c>
      <c r="I213" s="59" t="s">
        <v>120</v>
      </c>
      <c r="J213" s="59" t="s">
        <v>120</v>
      </c>
      <c r="K213" s="59" t="s">
        <v>120</v>
      </c>
      <c r="L213" s="59" t="s">
        <v>120</v>
      </c>
      <c r="M213" s="59" t="s">
        <v>120</v>
      </c>
      <c r="N213" s="59" t="s">
        <v>120</v>
      </c>
      <c r="O213" s="59" t="s">
        <v>120</v>
      </c>
      <c r="P213" s="59" t="s">
        <v>120</v>
      </c>
      <c r="Q213" s="59" t="s">
        <v>121</v>
      </c>
      <c r="R213" s="59" t="s">
        <v>120</v>
      </c>
      <c r="S213" s="59" t="s">
        <v>120</v>
      </c>
      <c r="T213" s="59" t="s">
        <v>121</v>
      </c>
      <c r="U213" s="59" t="s">
        <v>120</v>
      </c>
      <c r="V213" s="59" t="s">
        <v>121</v>
      </c>
      <c r="W213" s="59" t="s">
        <v>120</v>
      </c>
      <c r="X213" s="59" t="s">
        <v>121</v>
      </c>
      <c r="Y213" s="59" t="s">
        <v>121</v>
      </c>
      <c r="Z213" s="59" t="s">
        <v>121</v>
      </c>
      <c r="AA213" s="59" t="s">
        <v>120</v>
      </c>
      <c r="AB213" s="59" t="s">
        <v>92</v>
      </c>
      <c r="AC213" s="59" t="s">
        <v>120</v>
      </c>
      <c r="AD213" s="59" t="s">
        <v>120</v>
      </c>
      <c r="AE213" s="59" t="s">
        <v>120</v>
      </c>
      <c r="AF213" s="59" t="s">
        <v>120</v>
      </c>
      <c r="AG213" s="59" t="s">
        <v>120</v>
      </c>
      <c r="AH213" s="59" t="s">
        <v>120</v>
      </c>
      <c r="AI213" s="59"/>
      <c r="AJ213" s="59"/>
      <c r="AK213" s="59"/>
      <c r="AL213" s="59"/>
      <c r="AM213" s="59"/>
      <c r="AN213" s="59"/>
      <c r="AO213" s="59"/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  <c r="BD213" s="28"/>
      <c r="BE213" s="28"/>
      <c r="BF213" s="28"/>
      <c r="BG213" s="56">
        <f t="shared" si="5"/>
        <v>30</v>
      </c>
      <c r="BH213" s="42">
        <f t="shared" si="6"/>
        <v>21</v>
      </c>
      <c r="BI213" s="43">
        <f t="shared" si="7"/>
        <v>0.7</v>
      </c>
      <c r="BJ213" s="44">
        <f t="shared" si="8"/>
        <v>8</v>
      </c>
      <c r="BK213" s="42">
        <f t="shared" si="9"/>
        <v>1</v>
      </c>
      <c r="BL213" s="28"/>
      <c r="BM213" s="28"/>
      <c r="BN213" s="28"/>
      <c r="BO213" s="28"/>
    </row>
    <row r="214">
      <c r="A214" s="14">
        <f t="shared" si="2"/>
        <v>211</v>
      </c>
      <c r="B214" s="82">
        <f t="shared" si="3"/>
        <v>45992</v>
      </c>
      <c r="C214" s="48">
        <v>46019.0</v>
      </c>
      <c r="D214" s="49">
        <f t="shared" si="4"/>
        <v>46019</v>
      </c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78"/>
      <c r="BE214" s="78"/>
      <c r="BF214" s="78"/>
      <c r="BG214" s="56">
        <f t="shared" si="5"/>
        <v>0</v>
      </c>
      <c r="BH214" s="42">
        <f t="shared" si="6"/>
        <v>0</v>
      </c>
      <c r="BI214" s="43" t="str">
        <f t="shared" si="7"/>
        <v>#DIV/0!</v>
      </c>
      <c r="BJ214" s="44">
        <f t="shared" si="8"/>
        <v>0</v>
      </c>
      <c r="BK214" s="42">
        <f t="shared" si="9"/>
        <v>0</v>
      </c>
      <c r="BL214" s="28"/>
      <c r="BM214" s="28"/>
      <c r="BN214" s="28"/>
      <c r="BO214" s="28"/>
    </row>
    <row r="215">
      <c r="A215" s="14">
        <f t="shared" si="2"/>
        <v>212</v>
      </c>
      <c r="B215" s="82">
        <f t="shared" si="3"/>
        <v>45992</v>
      </c>
      <c r="C215" s="48">
        <v>46020.0</v>
      </c>
      <c r="D215" s="57">
        <f t="shared" si="4"/>
        <v>46020</v>
      </c>
      <c r="E215" s="59" t="s">
        <v>122</v>
      </c>
      <c r="F215" s="59" t="s">
        <v>122</v>
      </c>
      <c r="G215" s="59" t="s">
        <v>122</v>
      </c>
      <c r="H215" s="59" t="s">
        <v>122</v>
      </c>
      <c r="I215" s="59" t="s">
        <v>122</v>
      </c>
      <c r="J215" s="59" t="s">
        <v>122</v>
      </c>
      <c r="K215" s="59" t="s">
        <v>122</v>
      </c>
      <c r="L215" s="59" t="s">
        <v>122</v>
      </c>
      <c r="M215" s="59" t="s">
        <v>122</v>
      </c>
      <c r="N215" s="59" t="s">
        <v>122</v>
      </c>
      <c r="O215" s="59" t="s">
        <v>122</v>
      </c>
      <c r="P215" s="59" t="s">
        <v>122</v>
      </c>
      <c r="Q215" s="59" t="s">
        <v>122</v>
      </c>
      <c r="R215" s="59" t="s">
        <v>122</v>
      </c>
      <c r="S215" s="59" t="s">
        <v>122</v>
      </c>
      <c r="T215" s="59" t="s">
        <v>122</v>
      </c>
      <c r="U215" s="59" t="s">
        <v>122</v>
      </c>
      <c r="V215" s="59" t="s">
        <v>122</v>
      </c>
      <c r="W215" s="59" t="s">
        <v>122</v>
      </c>
      <c r="X215" s="59" t="s">
        <v>122</v>
      </c>
      <c r="Y215" s="59" t="s">
        <v>122</v>
      </c>
      <c r="Z215" s="59" t="s">
        <v>122</v>
      </c>
      <c r="AA215" s="59" t="s">
        <v>122</v>
      </c>
      <c r="AB215" s="59" t="s">
        <v>122</v>
      </c>
      <c r="AC215" s="59" t="s">
        <v>122</v>
      </c>
      <c r="AD215" s="59" t="s">
        <v>122</v>
      </c>
      <c r="AE215" s="59" t="s">
        <v>122</v>
      </c>
      <c r="AF215" s="59" t="s">
        <v>122</v>
      </c>
      <c r="AG215" s="59" t="s">
        <v>122</v>
      </c>
      <c r="AH215" s="59" t="s">
        <v>122</v>
      </c>
      <c r="AI215" s="59"/>
      <c r="AJ215" s="59"/>
      <c r="AK215" s="59"/>
      <c r="AL215" s="59"/>
      <c r="AM215" s="59"/>
      <c r="AN215" s="59"/>
      <c r="AO215" s="59"/>
      <c r="AP215" s="58"/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  <c r="BC215" s="58"/>
      <c r="BD215" s="28"/>
      <c r="BE215" s="28"/>
      <c r="BF215" s="28"/>
      <c r="BG215" s="56">
        <f t="shared" si="5"/>
        <v>0</v>
      </c>
      <c r="BH215" s="42">
        <f t="shared" si="6"/>
        <v>0</v>
      </c>
      <c r="BI215" s="43" t="str">
        <f t="shared" si="7"/>
        <v>#DIV/0!</v>
      </c>
      <c r="BJ215" s="44">
        <f t="shared" si="8"/>
        <v>0</v>
      </c>
      <c r="BK215" s="42">
        <f t="shared" si="9"/>
        <v>0</v>
      </c>
      <c r="BL215" s="28"/>
      <c r="BM215" s="28"/>
      <c r="BN215" s="28"/>
      <c r="BO215" s="28"/>
    </row>
    <row r="216">
      <c r="A216" s="14">
        <f t="shared" si="2"/>
        <v>213</v>
      </c>
      <c r="B216" s="82">
        <f t="shared" si="3"/>
        <v>45992</v>
      </c>
      <c r="C216" s="48">
        <v>46021.0</v>
      </c>
      <c r="D216" s="57">
        <f t="shared" si="4"/>
        <v>46021</v>
      </c>
      <c r="E216" s="59" t="s">
        <v>122</v>
      </c>
      <c r="F216" s="59" t="s">
        <v>122</v>
      </c>
      <c r="G216" s="59" t="s">
        <v>122</v>
      </c>
      <c r="H216" s="59" t="s">
        <v>122</v>
      </c>
      <c r="I216" s="59" t="s">
        <v>122</v>
      </c>
      <c r="J216" s="59" t="s">
        <v>122</v>
      </c>
      <c r="K216" s="59" t="s">
        <v>122</v>
      </c>
      <c r="L216" s="59" t="s">
        <v>122</v>
      </c>
      <c r="M216" s="59" t="s">
        <v>122</v>
      </c>
      <c r="N216" s="59" t="s">
        <v>122</v>
      </c>
      <c r="O216" s="59" t="s">
        <v>122</v>
      </c>
      <c r="P216" s="59" t="s">
        <v>122</v>
      </c>
      <c r="Q216" s="59" t="s">
        <v>122</v>
      </c>
      <c r="R216" s="59" t="s">
        <v>122</v>
      </c>
      <c r="S216" s="59" t="s">
        <v>122</v>
      </c>
      <c r="T216" s="59" t="s">
        <v>122</v>
      </c>
      <c r="U216" s="59" t="s">
        <v>122</v>
      </c>
      <c r="V216" s="59" t="s">
        <v>122</v>
      </c>
      <c r="W216" s="59" t="s">
        <v>122</v>
      </c>
      <c r="X216" s="59" t="s">
        <v>122</v>
      </c>
      <c r="Y216" s="59" t="s">
        <v>122</v>
      </c>
      <c r="Z216" s="59" t="s">
        <v>122</v>
      </c>
      <c r="AA216" s="59" t="s">
        <v>122</v>
      </c>
      <c r="AB216" s="59" t="s">
        <v>122</v>
      </c>
      <c r="AC216" s="59" t="s">
        <v>122</v>
      </c>
      <c r="AD216" s="59" t="s">
        <v>122</v>
      </c>
      <c r="AE216" s="59" t="s">
        <v>122</v>
      </c>
      <c r="AF216" s="59" t="s">
        <v>122</v>
      </c>
      <c r="AG216" s="59" t="s">
        <v>122</v>
      </c>
      <c r="AH216" s="59" t="s">
        <v>122</v>
      </c>
      <c r="AI216" s="59"/>
      <c r="AJ216" s="59"/>
      <c r="AK216" s="59"/>
      <c r="AL216" s="59"/>
      <c r="AM216" s="59"/>
      <c r="AN216" s="59"/>
      <c r="AO216" s="59"/>
      <c r="AP216" s="58"/>
      <c r="AQ216" s="58"/>
      <c r="AR216" s="58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/>
      <c r="BC216" s="58"/>
      <c r="BD216" s="28"/>
      <c r="BE216" s="28"/>
      <c r="BF216" s="28"/>
      <c r="BG216" s="56">
        <f t="shared" si="5"/>
        <v>0</v>
      </c>
      <c r="BH216" s="42">
        <f t="shared" si="6"/>
        <v>0</v>
      </c>
      <c r="BI216" s="43" t="str">
        <f t="shared" si="7"/>
        <v>#DIV/0!</v>
      </c>
      <c r="BJ216" s="44">
        <f t="shared" si="8"/>
        <v>0</v>
      </c>
      <c r="BK216" s="42">
        <f t="shared" si="9"/>
        <v>0</v>
      </c>
      <c r="BL216" s="28"/>
      <c r="BM216" s="28"/>
      <c r="BN216" s="28"/>
      <c r="BO216" s="28"/>
    </row>
    <row r="217">
      <c r="A217" s="14">
        <f t="shared" si="2"/>
        <v>214</v>
      </c>
      <c r="B217" s="82">
        <f t="shared" si="3"/>
        <v>45992</v>
      </c>
      <c r="C217" s="48">
        <v>46022.0</v>
      </c>
      <c r="D217" s="57">
        <f t="shared" si="4"/>
        <v>46022</v>
      </c>
      <c r="E217" s="59" t="s">
        <v>121</v>
      </c>
      <c r="F217" s="59" t="s">
        <v>121</v>
      </c>
      <c r="G217" s="59" t="s">
        <v>121</v>
      </c>
      <c r="H217" s="59" t="s">
        <v>121</v>
      </c>
      <c r="I217" s="59" t="s">
        <v>120</v>
      </c>
      <c r="J217" s="59" t="s">
        <v>120</v>
      </c>
      <c r="K217" s="59" t="s">
        <v>120</v>
      </c>
      <c r="L217" s="59" t="s">
        <v>121</v>
      </c>
      <c r="M217" s="59" t="s">
        <v>121</v>
      </c>
      <c r="N217" s="59" t="s">
        <v>120</v>
      </c>
      <c r="O217" s="59" t="s">
        <v>120</v>
      </c>
      <c r="P217" s="59" t="s">
        <v>120</v>
      </c>
      <c r="Q217" s="59" t="s">
        <v>120</v>
      </c>
      <c r="R217" s="59" t="s">
        <v>120</v>
      </c>
      <c r="S217" s="59" t="s">
        <v>120</v>
      </c>
      <c r="T217" s="59" t="s">
        <v>121</v>
      </c>
      <c r="U217" s="59" t="s">
        <v>121</v>
      </c>
      <c r="V217" s="59" t="s">
        <v>120</v>
      </c>
      <c r="W217" s="59" t="s">
        <v>120</v>
      </c>
      <c r="X217" s="59" t="s">
        <v>120</v>
      </c>
      <c r="Y217" s="59" t="s">
        <v>121</v>
      </c>
      <c r="Z217" s="59" t="s">
        <v>121</v>
      </c>
      <c r="AA217" s="59" t="s">
        <v>120</v>
      </c>
      <c r="AB217" s="59" t="s">
        <v>92</v>
      </c>
      <c r="AC217" s="59" t="s">
        <v>120</v>
      </c>
      <c r="AD217" s="59" t="s">
        <v>120</v>
      </c>
      <c r="AE217" s="59" t="s">
        <v>121</v>
      </c>
      <c r="AF217" s="59" t="s">
        <v>121</v>
      </c>
      <c r="AG217" s="59" t="s">
        <v>121</v>
      </c>
      <c r="AH217" s="59" t="s">
        <v>121</v>
      </c>
      <c r="AI217" s="59"/>
      <c r="AJ217" s="59"/>
      <c r="AK217" s="59"/>
      <c r="AL217" s="59"/>
      <c r="AM217" s="59"/>
      <c r="AN217" s="59"/>
      <c r="AO217" s="59"/>
      <c r="AP217" s="58"/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8"/>
      <c r="BB217" s="58"/>
      <c r="BC217" s="58"/>
      <c r="BD217" s="28"/>
      <c r="BE217" s="28"/>
      <c r="BF217" s="28"/>
      <c r="BG217" s="56">
        <f t="shared" si="5"/>
        <v>30</v>
      </c>
      <c r="BH217" s="42">
        <f t="shared" si="6"/>
        <v>15</v>
      </c>
      <c r="BI217" s="43">
        <f t="shared" si="7"/>
        <v>0.5</v>
      </c>
      <c r="BJ217" s="44">
        <f t="shared" si="8"/>
        <v>14</v>
      </c>
      <c r="BK217" s="42">
        <f t="shared" si="9"/>
        <v>1</v>
      </c>
      <c r="BL217" s="28"/>
      <c r="BM217" s="28"/>
      <c r="BN217" s="28"/>
      <c r="BO217" s="28"/>
    </row>
    <row r="218">
      <c r="A218" s="14">
        <f t="shared" si="2"/>
        <v>215</v>
      </c>
      <c r="B218" s="83">
        <f t="shared" si="3"/>
        <v>46023</v>
      </c>
      <c r="C218" s="48">
        <v>46023.0</v>
      </c>
      <c r="D218" s="57">
        <f t="shared" si="4"/>
        <v>46023</v>
      </c>
      <c r="E218" s="59" t="s">
        <v>121</v>
      </c>
      <c r="F218" s="59" t="s">
        <v>120</v>
      </c>
      <c r="G218" s="59" t="s">
        <v>120</v>
      </c>
      <c r="H218" s="59" t="s">
        <v>121</v>
      </c>
      <c r="I218" s="59" t="s">
        <v>120</v>
      </c>
      <c r="J218" s="59" t="s">
        <v>120</v>
      </c>
      <c r="K218" s="59" t="s">
        <v>120</v>
      </c>
      <c r="L218" s="59" t="s">
        <v>120</v>
      </c>
      <c r="M218" s="59" t="s">
        <v>121</v>
      </c>
      <c r="N218" s="59" t="s">
        <v>120</v>
      </c>
      <c r="O218" s="59" t="s">
        <v>120</v>
      </c>
      <c r="P218" s="59" t="s">
        <v>120</v>
      </c>
      <c r="Q218" s="59" t="s">
        <v>120</v>
      </c>
      <c r="R218" s="59" t="s">
        <v>120</v>
      </c>
      <c r="S218" s="59" t="s">
        <v>121</v>
      </c>
      <c r="T218" s="59" t="s">
        <v>121</v>
      </c>
      <c r="U218" s="59" t="s">
        <v>121</v>
      </c>
      <c r="V218" s="59" t="s">
        <v>120</v>
      </c>
      <c r="W218" s="59" t="s">
        <v>120</v>
      </c>
      <c r="X218" s="59" t="s">
        <v>120</v>
      </c>
      <c r="Y218" s="59" t="s">
        <v>121</v>
      </c>
      <c r="Z218" s="59" t="s">
        <v>121</v>
      </c>
      <c r="AA218" s="59" t="s">
        <v>120</v>
      </c>
      <c r="AB218" s="59" t="s">
        <v>92</v>
      </c>
      <c r="AC218" s="59" t="s">
        <v>121</v>
      </c>
      <c r="AD218" s="59" t="s">
        <v>120</v>
      </c>
      <c r="AE218" s="59" t="s">
        <v>121</v>
      </c>
      <c r="AF218" s="59" t="s">
        <v>121</v>
      </c>
      <c r="AG218" s="59" t="s">
        <v>121</v>
      </c>
      <c r="AH218" s="59" t="s">
        <v>121</v>
      </c>
      <c r="AI218" s="59"/>
      <c r="AJ218" s="59"/>
      <c r="AK218" s="59"/>
      <c r="AL218" s="59"/>
      <c r="AM218" s="59"/>
      <c r="AN218" s="59"/>
      <c r="AO218" s="59"/>
      <c r="AP218" s="58"/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8"/>
      <c r="BB218" s="58"/>
      <c r="BC218" s="58"/>
      <c r="BD218" s="28"/>
      <c r="BE218" s="28"/>
      <c r="BF218" s="28"/>
      <c r="BG218" s="56">
        <f t="shared" si="5"/>
        <v>30</v>
      </c>
      <c r="BH218" s="42">
        <f t="shared" si="6"/>
        <v>16</v>
      </c>
      <c r="BI218" s="43">
        <f t="shared" si="7"/>
        <v>0.5333333333</v>
      </c>
      <c r="BJ218" s="44">
        <f t="shared" si="8"/>
        <v>13</v>
      </c>
      <c r="BK218" s="42">
        <f t="shared" si="9"/>
        <v>1</v>
      </c>
      <c r="BL218" s="28"/>
      <c r="BM218" s="28"/>
      <c r="BN218" s="28"/>
      <c r="BO218" s="28"/>
    </row>
    <row r="219">
      <c r="A219" s="14">
        <f t="shared" si="2"/>
        <v>216</v>
      </c>
      <c r="B219" s="83">
        <f t="shared" si="3"/>
        <v>46023</v>
      </c>
      <c r="C219" s="48">
        <v>46024.0</v>
      </c>
      <c r="D219" s="57">
        <f t="shared" si="4"/>
        <v>46024</v>
      </c>
      <c r="E219" s="59" t="s">
        <v>121</v>
      </c>
      <c r="F219" s="59" t="s">
        <v>120</v>
      </c>
      <c r="G219" s="59" t="s">
        <v>120</v>
      </c>
      <c r="H219" s="59" t="s">
        <v>120</v>
      </c>
      <c r="I219" s="59" t="s">
        <v>120</v>
      </c>
      <c r="J219" s="59" t="s">
        <v>120</v>
      </c>
      <c r="K219" s="59" t="s">
        <v>120</v>
      </c>
      <c r="L219" s="59" t="s">
        <v>120</v>
      </c>
      <c r="M219" s="59" t="s">
        <v>121</v>
      </c>
      <c r="N219" s="59" t="s">
        <v>121</v>
      </c>
      <c r="O219" s="59" t="s">
        <v>121</v>
      </c>
      <c r="P219" s="59" t="s">
        <v>120</v>
      </c>
      <c r="Q219" s="59" t="s">
        <v>120</v>
      </c>
      <c r="R219" s="59" t="s">
        <v>120</v>
      </c>
      <c r="S219" s="59" t="s">
        <v>120</v>
      </c>
      <c r="T219" s="59" t="s">
        <v>121</v>
      </c>
      <c r="U219" s="59" t="s">
        <v>120</v>
      </c>
      <c r="V219" s="59" t="s">
        <v>120</v>
      </c>
      <c r="W219" s="59" t="s">
        <v>120</v>
      </c>
      <c r="X219" s="59" t="s">
        <v>120</v>
      </c>
      <c r="Y219" s="59" t="s">
        <v>121</v>
      </c>
      <c r="Z219" s="59" t="s">
        <v>121</v>
      </c>
      <c r="AA219" s="59" t="s">
        <v>120</v>
      </c>
      <c r="AB219" s="59" t="s">
        <v>92</v>
      </c>
      <c r="AC219" s="59" t="s">
        <v>120</v>
      </c>
      <c r="AD219" s="59" t="s">
        <v>120</v>
      </c>
      <c r="AE219" s="59" t="s">
        <v>120</v>
      </c>
      <c r="AF219" s="59" t="s">
        <v>120</v>
      </c>
      <c r="AG219" s="59" t="s">
        <v>120</v>
      </c>
      <c r="AH219" s="59" t="s">
        <v>120</v>
      </c>
      <c r="AI219" s="59"/>
      <c r="AJ219" s="59"/>
      <c r="AK219" s="59"/>
      <c r="AL219" s="59"/>
      <c r="AM219" s="59"/>
      <c r="AN219" s="59"/>
      <c r="AO219" s="59"/>
      <c r="AP219" s="58"/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8"/>
      <c r="BB219" s="58"/>
      <c r="BC219" s="58"/>
      <c r="BD219" s="28"/>
      <c r="BE219" s="28"/>
      <c r="BF219" s="28"/>
      <c r="BG219" s="56">
        <f t="shared" si="5"/>
        <v>30</v>
      </c>
      <c r="BH219" s="42">
        <f t="shared" si="6"/>
        <v>22</v>
      </c>
      <c r="BI219" s="43">
        <f t="shared" si="7"/>
        <v>0.7333333333</v>
      </c>
      <c r="BJ219" s="44">
        <f t="shared" si="8"/>
        <v>7</v>
      </c>
      <c r="BK219" s="42">
        <f t="shared" si="9"/>
        <v>1</v>
      </c>
      <c r="BL219" s="28"/>
      <c r="BM219" s="28"/>
      <c r="BN219" s="28"/>
      <c r="BO219" s="28"/>
    </row>
    <row r="220">
      <c r="A220" s="14">
        <f t="shared" si="2"/>
        <v>217</v>
      </c>
      <c r="B220" s="83">
        <f t="shared" si="3"/>
        <v>46023</v>
      </c>
      <c r="C220" s="48">
        <v>46025.0</v>
      </c>
      <c r="D220" s="57">
        <f t="shared" si="4"/>
        <v>46025</v>
      </c>
      <c r="E220" s="59" t="s">
        <v>121</v>
      </c>
      <c r="F220" s="59" t="s">
        <v>120</v>
      </c>
      <c r="G220" s="59" t="s">
        <v>120</v>
      </c>
      <c r="H220" s="59" t="s">
        <v>121</v>
      </c>
      <c r="I220" s="59" t="s">
        <v>120</v>
      </c>
      <c r="J220" s="59" t="s">
        <v>120</v>
      </c>
      <c r="K220" s="59" t="s">
        <v>120</v>
      </c>
      <c r="L220" s="59" t="s">
        <v>120</v>
      </c>
      <c r="M220" s="59" t="s">
        <v>121</v>
      </c>
      <c r="N220" s="59" t="s">
        <v>120</v>
      </c>
      <c r="O220" s="59" t="s">
        <v>120</v>
      </c>
      <c r="P220" s="59" t="s">
        <v>120</v>
      </c>
      <c r="Q220" s="59" t="s">
        <v>120</v>
      </c>
      <c r="R220" s="59" t="s">
        <v>120</v>
      </c>
      <c r="S220" s="59" t="s">
        <v>120</v>
      </c>
      <c r="T220" s="59" t="s">
        <v>121</v>
      </c>
      <c r="U220" s="59" t="s">
        <v>120</v>
      </c>
      <c r="V220" s="59" t="s">
        <v>120</v>
      </c>
      <c r="W220" s="59" t="s">
        <v>120</v>
      </c>
      <c r="X220" s="59" t="s">
        <v>120</v>
      </c>
      <c r="Y220" s="59" t="s">
        <v>121</v>
      </c>
      <c r="Z220" s="59" t="s">
        <v>120</v>
      </c>
      <c r="AA220" s="59" t="s">
        <v>120</v>
      </c>
      <c r="AB220" s="59" t="s">
        <v>92</v>
      </c>
      <c r="AC220" s="59" t="s">
        <v>120</v>
      </c>
      <c r="AD220" s="59" t="s">
        <v>120</v>
      </c>
      <c r="AE220" s="59" t="s">
        <v>120</v>
      </c>
      <c r="AF220" s="59" t="s">
        <v>120</v>
      </c>
      <c r="AG220" s="59" t="s">
        <v>120</v>
      </c>
      <c r="AH220" s="59" t="s">
        <v>120</v>
      </c>
      <c r="AI220" s="59"/>
      <c r="AJ220" s="59"/>
      <c r="AK220" s="59"/>
      <c r="AL220" s="59"/>
      <c r="AM220" s="59"/>
      <c r="AN220" s="59"/>
      <c r="AO220" s="59"/>
      <c r="AP220" s="58"/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8"/>
      <c r="BB220" s="58"/>
      <c r="BC220" s="58"/>
      <c r="BD220" s="28"/>
      <c r="BE220" s="28"/>
      <c r="BF220" s="28"/>
      <c r="BG220" s="56">
        <f t="shared" si="5"/>
        <v>30</v>
      </c>
      <c r="BH220" s="42">
        <f t="shared" si="6"/>
        <v>24</v>
      </c>
      <c r="BI220" s="43">
        <f t="shared" si="7"/>
        <v>0.8</v>
      </c>
      <c r="BJ220" s="44">
        <f t="shared" si="8"/>
        <v>5</v>
      </c>
      <c r="BK220" s="42">
        <f t="shared" si="9"/>
        <v>1</v>
      </c>
      <c r="BL220" s="28"/>
      <c r="BM220" s="28"/>
      <c r="BN220" s="28"/>
      <c r="BO220" s="28"/>
    </row>
    <row r="221">
      <c r="A221" s="14">
        <f t="shared" si="2"/>
        <v>218</v>
      </c>
      <c r="B221" s="83">
        <f t="shared" si="3"/>
        <v>46023</v>
      </c>
      <c r="C221" s="48">
        <v>46026.0</v>
      </c>
      <c r="D221" s="49">
        <f t="shared" si="4"/>
        <v>46026</v>
      </c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78"/>
      <c r="BE221" s="78"/>
      <c r="BF221" s="78"/>
      <c r="BG221" s="56">
        <f t="shared" si="5"/>
        <v>0</v>
      </c>
      <c r="BH221" s="42">
        <f t="shared" si="6"/>
        <v>0</v>
      </c>
      <c r="BI221" s="43" t="str">
        <f t="shared" si="7"/>
        <v>#DIV/0!</v>
      </c>
      <c r="BJ221" s="44">
        <f t="shared" si="8"/>
        <v>0</v>
      </c>
      <c r="BK221" s="42">
        <f t="shared" si="9"/>
        <v>0</v>
      </c>
      <c r="BL221" s="28"/>
      <c r="BM221" s="28"/>
      <c r="BN221" s="28"/>
      <c r="BO221" s="28"/>
    </row>
    <row r="222">
      <c r="A222" s="14">
        <f t="shared" si="2"/>
        <v>219</v>
      </c>
      <c r="B222" s="83">
        <f t="shared" si="3"/>
        <v>46023</v>
      </c>
      <c r="C222" s="48">
        <v>46027.0</v>
      </c>
      <c r="D222" s="57">
        <f t="shared" si="4"/>
        <v>46027</v>
      </c>
      <c r="E222" s="59" t="s">
        <v>120</v>
      </c>
      <c r="F222" s="59" t="s">
        <v>120</v>
      </c>
      <c r="G222" s="59" t="s">
        <v>120</v>
      </c>
      <c r="H222" s="59" t="s">
        <v>121</v>
      </c>
      <c r="I222" s="59" t="s">
        <v>120</v>
      </c>
      <c r="J222" s="59" t="s">
        <v>120</v>
      </c>
      <c r="K222" s="59" t="s">
        <v>120</v>
      </c>
      <c r="L222" s="59" t="s">
        <v>120</v>
      </c>
      <c r="M222" s="59" t="s">
        <v>121</v>
      </c>
      <c r="N222" s="59" t="s">
        <v>120</v>
      </c>
      <c r="O222" s="59" t="s">
        <v>120</v>
      </c>
      <c r="P222" s="59" t="s">
        <v>120</v>
      </c>
      <c r="Q222" s="59" t="s">
        <v>120</v>
      </c>
      <c r="R222" s="59" t="s">
        <v>120</v>
      </c>
      <c r="S222" s="59" t="s">
        <v>121</v>
      </c>
      <c r="T222" s="59" t="s">
        <v>121</v>
      </c>
      <c r="U222" s="59" t="s">
        <v>121</v>
      </c>
      <c r="V222" s="59" t="s">
        <v>120</v>
      </c>
      <c r="W222" s="59" t="s">
        <v>121</v>
      </c>
      <c r="X222" s="59" t="s">
        <v>120</v>
      </c>
      <c r="Y222" s="59" t="s">
        <v>121</v>
      </c>
      <c r="Z222" s="59" t="s">
        <v>121</v>
      </c>
      <c r="AA222" s="59" t="s">
        <v>120</v>
      </c>
      <c r="AB222" s="59" t="s">
        <v>92</v>
      </c>
      <c r="AC222" s="59" t="s">
        <v>120</v>
      </c>
      <c r="AD222" s="59" t="s">
        <v>120</v>
      </c>
      <c r="AE222" s="59" t="s">
        <v>120</v>
      </c>
      <c r="AF222" s="59" t="s">
        <v>120</v>
      </c>
      <c r="AG222" s="59" t="s">
        <v>120</v>
      </c>
      <c r="AH222" s="59" t="s">
        <v>120</v>
      </c>
      <c r="AI222" s="59"/>
      <c r="AJ222" s="59"/>
      <c r="AK222" s="59"/>
      <c r="AL222" s="59"/>
      <c r="AM222" s="59"/>
      <c r="AN222" s="59"/>
      <c r="AO222" s="59"/>
      <c r="AP222" s="58"/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8"/>
      <c r="BB222" s="58"/>
      <c r="BC222" s="58"/>
      <c r="BD222" s="28"/>
      <c r="BE222" s="28"/>
      <c r="BF222" s="28"/>
      <c r="BG222" s="56">
        <f t="shared" si="5"/>
        <v>30</v>
      </c>
      <c r="BH222" s="42">
        <f t="shared" si="6"/>
        <v>21</v>
      </c>
      <c r="BI222" s="43">
        <f t="shared" si="7"/>
        <v>0.7</v>
      </c>
      <c r="BJ222" s="44">
        <f t="shared" si="8"/>
        <v>8</v>
      </c>
      <c r="BK222" s="42">
        <f t="shared" si="9"/>
        <v>1</v>
      </c>
      <c r="BL222" s="28"/>
      <c r="BM222" s="28"/>
      <c r="BN222" s="28"/>
      <c r="BO222" s="28"/>
    </row>
    <row r="223">
      <c r="A223" s="14">
        <f t="shared" si="2"/>
        <v>220</v>
      </c>
      <c r="B223" s="83">
        <f t="shared" si="3"/>
        <v>46023</v>
      </c>
      <c r="C223" s="48">
        <v>46028.0</v>
      </c>
      <c r="D223" s="57">
        <f t="shared" si="4"/>
        <v>46028</v>
      </c>
      <c r="E223" s="59" t="s">
        <v>120</v>
      </c>
      <c r="F223" s="59" t="s">
        <v>121</v>
      </c>
      <c r="G223" s="59" t="s">
        <v>121</v>
      </c>
      <c r="H223" s="59" t="s">
        <v>121</v>
      </c>
      <c r="I223" s="59" t="s">
        <v>120</v>
      </c>
      <c r="J223" s="59" t="s">
        <v>120</v>
      </c>
      <c r="K223" s="59" t="s">
        <v>120</v>
      </c>
      <c r="L223" s="59" t="s">
        <v>120</v>
      </c>
      <c r="M223" s="59" t="s">
        <v>120</v>
      </c>
      <c r="N223" s="59" t="s">
        <v>120</v>
      </c>
      <c r="O223" s="59" t="s">
        <v>120</v>
      </c>
      <c r="P223" s="59" t="s">
        <v>120</v>
      </c>
      <c r="Q223" s="59" t="s">
        <v>120</v>
      </c>
      <c r="R223" s="59" t="s">
        <v>121</v>
      </c>
      <c r="S223" s="59" t="s">
        <v>121</v>
      </c>
      <c r="T223" s="59" t="s">
        <v>121</v>
      </c>
      <c r="U223" s="59" t="s">
        <v>121</v>
      </c>
      <c r="V223" s="59" t="s">
        <v>121</v>
      </c>
      <c r="W223" s="59" t="s">
        <v>121</v>
      </c>
      <c r="X223" s="59" t="s">
        <v>120</v>
      </c>
      <c r="Y223" s="59" t="s">
        <v>121</v>
      </c>
      <c r="Z223" s="59" t="s">
        <v>121</v>
      </c>
      <c r="AA223" s="59" t="s">
        <v>121</v>
      </c>
      <c r="AB223" s="59" t="s">
        <v>92</v>
      </c>
      <c r="AC223" s="59" t="s">
        <v>121</v>
      </c>
      <c r="AD223" s="59" t="s">
        <v>120</v>
      </c>
      <c r="AE223" s="59" t="s">
        <v>120</v>
      </c>
      <c r="AF223" s="59" t="s">
        <v>120</v>
      </c>
      <c r="AG223" s="59" t="s">
        <v>120</v>
      </c>
      <c r="AH223" s="59" t="s">
        <v>120</v>
      </c>
      <c r="AI223" s="59"/>
      <c r="AJ223" s="59"/>
      <c r="AK223" s="59"/>
      <c r="AL223" s="59"/>
      <c r="AM223" s="59"/>
      <c r="AN223" s="59"/>
      <c r="AO223" s="59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  <c r="BD223" s="28"/>
      <c r="BE223" s="28"/>
      <c r="BF223" s="28"/>
      <c r="BG223" s="56">
        <f t="shared" si="5"/>
        <v>30</v>
      </c>
      <c r="BH223" s="42">
        <f t="shared" si="6"/>
        <v>16</v>
      </c>
      <c r="BI223" s="43">
        <f t="shared" si="7"/>
        <v>0.5333333333</v>
      </c>
      <c r="BJ223" s="44">
        <f t="shared" si="8"/>
        <v>13</v>
      </c>
      <c r="BK223" s="42">
        <f t="shared" si="9"/>
        <v>1</v>
      </c>
      <c r="BL223" s="28"/>
      <c r="BM223" s="28"/>
      <c r="BN223" s="28"/>
      <c r="BO223" s="28"/>
    </row>
    <row r="224">
      <c r="A224" s="14">
        <f t="shared" si="2"/>
        <v>221</v>
      </c>
      <c r="B224" s="83">
        <f t="shared" si="3"/>
        <v>46023</v>
      </c>
      <c r="C224" s="48">
        <v>46029.0</v>
      </c>
      <c r="D224" s="57">
        <f t="shared" si="4"/>
        <v>46029</v>
      </c>
      <c r="E224" s="59" t="s">
        <v>120</v>
      </c>
      <c r="F224" s="59" t="s">
        <v>120</v>
      </c>
      <c r="G224" s="59" t="s">
        <v>120</v>
      </c>
      <c r="H224" s="59" t="s">
        <v>121</v>
      </c>
      <c r="I224" s="59" t="s">
        <v>120</v>
      </c>
      <c r="J224" s="59" t="s">
        <v>120</v>
      </c>
      <c r="K224" s="59" t="s">
        <v>120</v>
      </c>
      <c r="L224" s="59" t="s">
        <v>120</v>
      </c>
      <c r="M224" s="59" t="s">
        <v>121</v>
      </c>
      <c r="N224" s="59" t="s">
        <v>120</v>
      </c>
      <c r="O224" s="59" t="s">
        <v>120</v>
      </c>
      <c r="P224" s="59" t="s">
        <v>120</v>
      </c>
      <c r="Q224" s="59" t="s">
        <v>120</v>
      </c>
      <c r="R224" s="59" t="s">
        <v>120</v>
      </c>
      <c r="S224" s="59" t="s">
        <v>120</v>
      </c>
      <c r="T224" s="59" t="s">
        <v>121</v>
      </c>
      <c r="U224" s="59" t="s">
        <v>120</v>
      </c>
      <c r="V224" s="59" t="s">
        <v>120</v>
      </c>
      <c r="W224" s="59" t="s">
        <v>120</v>
      </c>
      <c r="X224" s="59" t="s">
        <v>120</v>
      </c>
      <c r="Y224" s="59" t="s">
        <v>121</v>
      </c>
      <c r="Z224" s="59" t="s">
        <v>121</v>
      </c>
      <c r="AA224" s="59" t="s">
        <v>120</v>
      </c>
      <c r="AB224" s="59" t="s">
        <v>92</v>
      </c>
      <c r="AC224" s="59" t="s">
        <v>121</v>
      </c>
      <c r="AD224" s="59" t="s">
        <v>120</v>
      </c>
      <c r="AE224" s="59" t="s">
        <v>120</v>
      </c>
      <c r="AF224" s="59" t="s">
        <v>120</v>
      </c>
      <c r="AG224" s="59" t="s">
        <v>120</v>
      </c>
      <c r="AH224" s="59" t="s">
        <v>120</v>
      </c>
      <c r="AI224" s="59"/>
      <c r="AJ224" s="59"/>
      <c r="AK224" s="59"/>
      <c r="AL224" s="59"/>
      <c r="AM224" s="59"/>
      <c r="AN224" s="59"/>
      <c r="AO224" s="59"/>
      <c r="AP224" s="58"/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8"/>
      <c r="BB224" s="58"/>
      <c r="BC224" s="58"/>
      <c r="BD224" s="28"/>
      <c r="BE224" s="28"/>
      <c r="BF224" s="28"/>
      <c r="BG224" s="56">
        <f t="shared" si="5"/>
        <v>30</v>
      </c>
      <c r="BH224" s="42">
        <f t="shared" si="6"/>
        <v>23</v>
      </c>
      <c r="BI224" s="43">
        <f t="shared" si="7"/>
        <v>0.7666666667</v>
      </c>
      <c r="BJ224" s="44">
        <f t="shared" si="8"/>
        <v>6</v>
      </c>
      <c r="BK224" s="42">
        <f t="shared" si="9"/>
        <v>1</v>
      </c>
      <c r="BL224" s="28"/>
      <c r="BM224" s="28"/>
      <c r="BN224" s="28"/>
      <c r="BO224" s="28"/>
    </row>
    <row r="225">
      <c r="A225" s="14">
        <f t="shared" si="2"/>
        <v>222</v>
      </c>
      <c r="B225" s="83">
        <f t="shared" si="3"/>
        <v>46023</v>
      </c>
      <c r="C225" s="48">
        <v>46030.0</v>
      </c>
      <c r="D225" s="57">
        <f t="shared" si="4"/>
        <v>46030</v>
      </c>
      <c r="E225" s="59" t="s">
        <v>120</v>
      </c>
      <c r="F225" s="59" t="s">
        <v>120</v>
      </c>
      <c r="G225" s="59" t="s">
        <v>120</v>
      </c>
      <c r="H225" s="59" t="s">
        <v>121</v>
      </c>
      <c r="I225" s="59" t="s">
        <v>120</v>
      </c>
      <c r="J225" s="59" t="s">
        <v>120</v>
      </c>
      <c r="K225" s="59" t="s">
        <v>120</v>
      </c>
      <c r="L225" s="59" t="s">
        <v>120</v>
      </c>
      <c r="M225" s="59" t="s">
        <v>120</v>
      </c>
      <c r="N225" s="59" t="s">
        <v>120</v>
      </c>
      <c r="O225" s="59" t="s">
        <v>120</v>
      </c>
      <c r="P225" s="59" t="s">
        <v>120</v>
      </c>
      <c r="Q225" s="59" t="s">
        <v>120</v>
      </c>
      <c r="R225" s="59" t="s">
        <v>120</v>
      </c>
      <c r="S225" s="59" t="s">
        <v>120</v>
      </c>
      <c r="T225" s="59" t="s">
        <v>121</v>
      </c>
      <c r="U225" s="59" t="s">
        <v>120</v>
      </c>
      <c r="V225" s="59" t="s">
        <v>120</v>
      </c>
      <c r="W225" s="59" t="s">
        <v>120</v>
      </c>
      <c r="X225" s="59" t="s">
        <v>120</v>
      </c>
      <c r="Y225" s="59" t="s">
        <v>121</v>
      </c>
      <c r="Z225" s="59" t="s">
        <v>120</v>
      </c>
      <c r="AA225" s="59" t="s">
        <v>120</v>
      </c>
      <c r="AB225" s="59" t="s">
        <v>92</v>
      </c>
      <c r="AC225" s="59" t="s">
        <v>121</v>
      </c>
      <c r="AD225" s="59" t="s">
        <v>120</v>
      </c>
      <c r="AE225" s="59" t="s">
        <v>120</v>
      </c>
      <c r="AF225" s="59" t="s">
        <v>120</v>
      </c>
      <c r="AG225" s="59" t="s">
        <v>120</v>
      </c>
      <c r="AH225" s="59" t="s">
        <v>120</v>
      </c>
      <c r="AI225" s="59"/>
      <c r="AJ225" s="59"/>
      <c r="AK225" s="59"/>
      <c r="AL225" s="59"/>
      <c r="AM225" s="59"/>
      <c r="AN225" s="59"/>
      <c r="AO225" s="59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28"/>
      <c r="BE225" s="28"/>
      <c r="BF225" s="28"/>
      <c r="BG225" s="56">
        <f t="shared" si="5"/>
        <v>30</v>
      </c>
      <c r="BH225" s="42">
        <f t="shared" si="6"/>
        <v>25</v>
      </c>
      <c r="BI225" s="43">
        <f t="shared" si="7"/>
        <v>0.8333333333</v>
      </c>
      <c r="BJ225" s="44">
        <f t="shared" si="8"/>
        <v>4</v>
      </c>
      <c r="BK225" s="42">
        <f t="shared" si="9"/>
        <v>1</v>
      </c>
      <c r="BL225" s="28"/>
      <c r="BM225" s="28"/>
      <c r="BN225" s="28"/>
      <c r="BO225" s="28"/>
    </row>
    <row r="226">
      <c r="A226" s="14">
        <f t="shared" si="2"/>
        <v>223</v>
      </c>
      <c r="B226" s="83">
        <f t="shared" si="3"/>
        <v>46023</v>
      </c>
      <c r="C226" s="48">
        <v>46031.0</v>
      </c>
      <c r="D226" s="57">
        <f t="shared" si="4"/>
        <v>46031</v>
      </c>
      <c r="E226" s="59" t="s">
        <v>120</v>
      </c>
      <c r="F226" s="59" t="s">
        <v>120</v>
      </c>
      <c r="G226" s="59" t="s">
        <v>120</v>
      </c>
      <c r="H226" s="59" t="s">
        <v>121</v>
      </c>
      <c r="I226" s="59" t="s">
        <v>120</v>
      </c>
      <c r="J226" s="59" t="s">
        <v>120</v>
      </c>
      <c r="K226" s="59" t="s">
        <v>120</v>
      </c>
      <c r="L226" s="59" t="s">
        <v>120</v>
      </c>
      <c r="M226" s="59" t="s">
        <v>120</v>
      </c>
      <c r="N226" s="59" t="s">
        <v>120</v>
      </c>
      <c r="O226" s="59" t="s">
        <v>120</v>
      </c>
      <c r="P226" s="59" t="s">
        <v>120</v>
      </c>
      <c r="Q226" s="59" t="s">
        <v>120</v>
      </c>
      <c r="R226" s="59" t="s">
        <v>120</v>
      </c>
      <c r="S226" s="59" t="s">
        <v>121</v>
      </c>
      <c r="T226" s="59" t="s">
        <v>121</v>
      </c>
      <c r="U226" s="59" t="s">
        <v>120</v>
      </c>
      <c r="V226" s="59" t="s">
        <v>120</v>
      </c>
      <c r="W226" s="59" t="s">
        <v>120</v>
      </c>
      <c r="X226" s="59" t="s">
        <v>120</v>
      </c>
      <c r="Y226" s="59" t="s">
        <v>121</v>
      </c>
      <c r="Z226" s="59" t="s">
        <v>120</v>
      </c>
      <c r="AA226" s="59" t="s">
        <v>120</v>
      </c>
      <c r="AB226" s="59" t="s">
        <v>92</v>
      </c>
      <c r="AC226" s="59" t="s">
        <v>121</v>
      </c>
      <c r="AD226" s="59" t="s">
        <v>120</v>
      </c>
      <c r="AE226" s="59" t="s">
        <v>120</v>
      </c>
      <c r="AF226" s="59" t="s">
        <v>120</v>
      </c>
      <c r="AG226" s="59" t="s">
        <v>120</v>
      </c>
      <c r="AH226" s="59" t="s">
        <v>120</v>
      </c>
      <c r="AI226" s="59"/>
      <c r="AJ226" s="59"/>
      <c r="AK226" s="59"/>
      <c r="AL226" s="59"/>
      <c r="AM226" s="59"/>
      <c r="AN226" s="59"/>
      <c r="AO226" s="59"/>
      <c r="AP226" s="58"/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8"/>
      <c r="BB226" s="58"/>
      <c r="BC226" s="58"/>
      <c r="BD226" s="28"/>
      <c r="BE226" s="28"/>
      <c r="BF226" s="28"/>
      <c r="BG226" s="56">
        <f t="shared" si="5"/>
        <v>30</v>
      </c>
      <c r="BH226" s="42">
        <f t="shared" si="6"/>
        <v>24</v>
      </c>
      <c r="BI226" s="43">
        <f t="shared" si="7"/>
        <v>0.8</v>
      </c>
      <c r="BJ226" s="44">
        <f t="shared" si="8"/>
        <v>5</v>
      </c>
      <c r="BK226" s="42">
        <f t="shared" si="9"/>
        <v>1</v>
      </c>
      <c r="BL226" s="28"/>
      <c r="BM226" s="28"/>
      <c r="BN226" s="28"/>
      <c r="BO226" s="28"/>
    </row>
    <row r="227">
      <c r="A227" s="14">
        <f t="shared" si="2"/>
        <v>224</v>
      </c>
      <c r="B227" s="83">
        <f t="shared" si="3"/>
        <v>46023</v>
      </c>
      <c r="C227" s="48">
        <v>46032.0</v>
      </c>
      <c r="D227" s="57">
        <f t="shared" si="4"/>
        <v>46032</v>
      </c>
      <c r="E227" s="59" t="s">
        <v>120</v>
      </c>
      <c r="F227" s="59" t="s">
        <v>120</v>
      </c>
      <c r="G227" s="59" t="s">
        <v>120</v>
      </c>
      <c r="H227" s="59" t="s">
        <v>121</v>
      </c>
      <c r="I227" s="59" t="s">
        <v>120</v>
      </c>
      <c r="J227" s="59" t="s">
        <v>120</v>
      </c>
      <c r="K227" s="59" t="s">
        <v>120</v>
      </c>
      <c r="L227" s="59" t="s">
        <v>120</v>
      </c>
      <c r="M227" s="59" t="s">
        <v>121</v>
      </c>
      <c r="N227" s="59" t="s">
        <v>120</v>
      </c>
      <c r="O227" s="59" t="s">
        <v>120</v>
      </c>
      <c r="P227" s="59" t="s">
        <v>120</v>
      </c>
      <c r="Q227" s="59" t="s">
        <v>120</v>
      </c>
      <c r="R227" s="59" t="s">
        <v>120</v>
      </c>
      <c r="S227" s="59" t="s">
        <v>120</v>
      </c>
      <c r="T227" s="59" t="s">
        <v>121</v>
      </c>
      <c r="U227" s="59" t="s">
        <v>120</v>
      </c>
      <c r="V227" s="59" t="s">
        <v>120</v>
      </c>
      <c r="W227" s="59" t="s">
        <v>120</v>
      </c>
      <c r="X227" s="59" t="s">
        <v>121</v>
      </c>
      <c r="Y227" s="59" t="s">
        <v>121</v>
      </c>
      <c r="Z227" s="59" t="s">
        <v>120</v>
      </c>
      <c r="AA227" s="59" t="s">
        <v>120</v>
      </c>
      <c r="AB227" s="59" t="s">
        <v>92</v>
      </c>
      <c r="AC227" s="59" t="s">
        <v>121</v>
      </c>
      <c r="AD227" s="59" t="s">
        <v>120</v>
      </c>
      <c r="AE227" s="59" t="s">
        <v>120</v>
      </c>
      <c r="AF227" s="59" t="s">
        <v>120</v>
      </c>
      <c r="AG227" s="59" t="s">
        <v>120</v>
      </c>
      <c r="AH227" s="59" t="s">
        <v>120</v>
      </c>
      <c r="AI227" s="59"/>
      <c r="AJ227" s="59"/>
      <c r="AK227" s="59"/>
      <c r="AL227" s="59"/>
      <c r="AM227" s="59"/>
      <c r="AN227" s="59"/>
      <c r="AO227" s="59"/>
      <c r="AP227" s="58"/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8"/>
      <c r="BB227" s="58"/>
      <c r="BC227" s="58"/>
      <c r="BD227" s="28"/>
      <c r="BE227" s="28"/>
      <c r="BF227" s="28"/>
      <c r="BG227" s="56">
        <f t="shared" si="5"/>
        <v>30</v>
      </c>
      <c r="BH227" s="42">
        <f t="shared" si="6"/>
        <v>23</v>
      </c>
      <c r="BI227" s="43">
        <f t="shared" si="7"/>
        <v>0.7666666667</v>
      </c>
      <c r="BJ227" s="44">
        <f t="shared" si="8"/>
        <v>6</v>
      </c>
      <c r="BK227" s="42">
        <f t="shared" si="9"/>
        <v>1</v>
      </c>
      <c r="BL227" s="28"/>
      <c r="BM227" s="28"/>
      <c r="BN227" s="28"/>
      <c r="BO227" s="28"/>
    </row>
    <row r="228">
      <c r="A228" s="14">
        <f t="shared" si="2"/>
        <v>225</v>
      </c>
      <c r="B228" s="83">
        <f t="shared" si="3"/>
        <v>46023</v>
      </c>
      <c r="C228" s="48">
        <v>46033.0</v>
      </c>
      <c r="D228" s="49">
        <f t="shared" si="4"/>
        <v>46033</v>
      </c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78"/>
      <c r="BE228" s="78"/>
      <c r="BF228" s="78"/>
      <c r="BG228" s="56">
        <f t="shared" si="5"/>
        <v>0</v>
      </c>
      <c r="BH228" s="42">
        <f t="shared" si="6"/>
        <v>0</v>
      </c>
      <c r="BI228" s="43" t="str">
        <f t="shared" si="7"/>
        <v>#DIV/0!</v>
      </c>
      <c r="BJ228" s="44">
        <f t="shared" si="8"/>
        <v>0</v>
      </c>
      <c r="BK228" s="42">
        <f t="shared" si="9"/>
        <v>0</v>
      </c>
      <c r="BL228" s="28"/>
      <c r="BM228" s="28"/>
      <c r="BN228" s="28"/>
      <c r="BO228" s="28"/>
    </row>
    <row r="229">
      <c r="A229" s="14">
        <f t="shared" si="2"/>
        <v>226</v>
      </c>
      <c r="B229" s="83">
        <f t="shared" si="3"/>
        <v>46023</v>
      </c>
      <c r="C229" s="48">
        <v>46034.0</v>
      </c>
      <c r="D229" s="57">
        <f t="shared" si="4"/>
        <v>46034</v>
      </c>
      <c r="E229" s="59" t="s">
        <v>121</v>
      </c>
      <c r="F229" s="59" t="s">
        <v>120</v>
      </c>
      <c r="G229" s="59" t="s">
        <v>120</v>
      </c>
      <c r="H229" s="59" t="s">
        <v>121</v>
      </c>
      <c r="I229" s="59" t="s">
        <v>120</v>
      </c>
      <c r="J229" s="59" t="s">
        <v>120</v>
      </c>
      <c r="K229" s="59" t="s">
        <v>120</v>
      </c>
      <c r="L229" s="59" t="s">
        <v>120</v>
      </c>
      <c r="M229" s="59" t="s">
        <v>120</v>
      </c>
      <c r="N229" s="59" t="s">
        <v>120</v>
      </c>
      <c r="O229" s="59" t="s">
        <v>120</v>
      </c>
      <c r="P229" s="59" t="s">
        <v>121</v>
      </c>
      <c r="Q229" s="59" t="s">
        <v>120</v>
      </c>
      <c r="R229" s="59" t="s">
        <v>120</v>
      </c>
      <c r="S229" s="59" t="s">
        <v>121</v>
      </c>
      <c r="T229" s="59" t="s">
        <v>121</v>
      </c>
      <c r="U229" s="59" t="s">
        <v>121</v>
      </c>
      <c r="V229" s="59" t="s">
        <v>120</v>
      </c>
      <c r="W229" s="59" t="s">
        <v>120</v>
      </c>
      <c r="X229" s="59" t="s">
        <v>120</v>
      </c>
      <c r="Y229" s="59" t="s">
        <v>121</v>
      </c>
      <c r="Z229" s="59" t="s">
        <v>121</v>
      </c>
      <c r="AA229" s="59" t="s">
        <v>120</v>
      </c>
      <c r="AB229" s="59" t="s">
        <v>92</v>
      </c>
      <c r="AC229" s="59" t="s">
        <v>121</v>
      </c>
      <c r="AD229" s="59" t="s">
        <v>120</v>
      </c>
      <c r="AE229" s="59" t="s">
        <v>120</v>
      </c>
      <c r="AF229" s="59" t="s">
        <v>120</v>
      </c>
      <c r="AG229" s="59" t="s">
        <v>120</v>
      </c>
      <c r="AH229" s="59" t="s">
        <v>120</v>
      </c>
      <c r="AI229" s="59"/>
      <c r="AJ229" s="59"/>
      <c r="AK229" s="59"/>
      <c r="AL229" s="59"/>
      <c r="AM229" s="59"/>
      <c r="AN229" s="59"/>
      <c r="AO229" s="59"/>
      <c r="AP229" s="58"/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8"/>
      <c r="BB229" s="58"/>
      <c r="BC229" s="58"/>
      <c r="BD229" s="28"/>
      <c r="BE229" s="28"/>
      <c r="BF229" s="28"/>
      <c r="BG229" s="56">
        <f t="shared" si="5"/>
        <v>30</v>
      </c>
      <c r="BH229" s="42">
        <f t="shared" si="6"/>
        <v>20</v>
      </c>
      <c r="BI229" s="43">
        <f t="shared" si="7"/>
        <v>0.6666666667</v>
      </c>
      <c r="BJ229" s="44">
        <f t="shared" si="8"/>
        <v>9</v>
      </c>
      <c r="BK229" s="42">
        <f t="shared" si="9"/>
        <v>1</v>
      </c>
      <c r="BL229" s="28"/>
      <c r="BM229" s="28"/>
      <c r="BN229" s="28"/>
      <c r="BO229" s="28"/>
    </row>
    <row r="230">
      <c r="A230" s="14">
        <f t="shared" si="2"/>
        <v>227</v>
      </c>
      <c r="B230" s="83">
        <f t="shared" si="3"/>
        <v>46023</v>
      </c>
      <c r="C230" s="48">
        <v>46035.0</v>
      </c>
      <c r="D230" s="57">
        <f t="shared" si="4"/>
        <v>46035</v>
      </c>
      <c r="E230" s="59" t="s">
        <v>120</v>
      </c>
      <c r="F230" s="59" t="s">
        <v>120</v>
      </c>
      <c r="G230" s="59" t="s">
        <v>120</v>
      </c>
      <c r="H230" s="59" t="s">
        <v>121</v>
      </c>
      <c r="I230" s="59" t="s">
        <v>120</v>
      </c>
      <c r="J230" s="59" t="s">
        <v>121</v>
      </c>
      <c r="K230" s="59" t="s">
        <v>120</v>
      </c>
      <c r="L230" s="59" t="s">
        <v>120</v>
      </c>
      <c r="M230" s="59" t="s">
        <v>120</v>
      </c>
      <c r="N230" s="59" t="s">
        <v>120</v>
      </c>
      <c r="O230" s="59" t="s">
        <v>120</v>
      </c>
      <c r="P230" s="59" t="s">
        <v>120</v>
      </c>
      <c r="Q230" s="59" t="s">
        <v>120</v>
      </c>
      <c r="R230" s="59" t="s">
        <v>120</v>
      </c>
      <c r="S230" s="59" t="s">
        <v>120</v>
      </c>
      <c r="T230" s="59" t="s">
        <v>121</v>
      </c>
      <c r="U230" s="59" t="s">
        <v>121</v>
      </c>
      <c r="V230" s="59" t="s">
        <v>121</v>
      </c>
      <c r="W230" s="59" t="s">
        <v>120</v>
      </c>
      <c r="X230" s="59" t="s">
        <v>121</v>
      </c>
      <c r="Y230" s="59" t="s">
        <v>121</v>
      </c>
      <c r="Z230" s="59" t="s">
        <v>120</v>
      </c>
      <c r="AA230" s="59" t="s">
        <v>121</v>
      </c>
      <c r="AB230" s="59" t="s">
        <v>92</v>
      </c>
      <c r="AC230" s="59" t="s">
        <v>120</v>
      </c>
      <c r="AD230" s="59" t="s">
        <v>120</v>
      </c>
      <c r="AE230" s="59" t="s">
        <v>120</v>
      </c>
      <c r="AF230" s="59" t="s">
        <v>120</v>
      </c>
      <c r="AG230" s="59" t="s">
        <v>120</v>
      </c>
      <c r="AH230" s="59" t="s">
        <v>120</v>
      </c>
      <c r="AI230" s="59"/>
      <c r="AJ230" s="59"/>
      <c r="AK230" s="59"/>
      <c r="AL230" s="59"/>
      <c r="AM230" s="59"/>
      <c r="AN230" s="59"/>
      <c r="AO230" s="59"/>
      <c r="AP230" s="58"/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8"/>
      <c r="BB230" s="58"/>
      <c r="BC230" s="58"/>
      <c r="BD230" s="28"/>
      <c r="BE230" s="28"/>
      <c r="BF230" s="28"/>
      <c r="BG230" s="56">
        <f t="shared" si="5"/>
        <v>30</v>
      </c>
      <c r="BH230" s="42">
        <f t="shared" si="6"/>
        <v>21</v>
      </c>
      <c r="BI230" s="43">
        <f t="shared" si="7"/>
        <v>0.7</v>
      </c>
      <c r="BJ230" s="44">
        <f t="shared" si="8"/>
        <v>8</v>
      </c>
      <c r="BK230" s="42">
        <f t="shared" si="9"/>
        <v>1</v>
      </c>
      <c r="BL230" s="28"/>
      <c r="BM230" s="28"/>
      <c r="BN230" s="28"/>
      <c r="BO230" s="28"/>
    </row>
    <row r="231">
      <c r="A231" s="14">
        <f t="shared" si="2"/>
        <v>228</v>
      </c>
      <c r="B231" s="83">
        <f t="shared" si="3"/>
        <v>46023</v>
      </c>
      <c r="C231" s="48">
        <v>46036.0</v>
      </c>
      <c r="D231" s="57">
        <f t="shared" si="4"/>
        <v>46036</v>
      </c>
      <c r="E231" s="59" t="s">
        <v>123</v>
      </c>
      <c r="F231" s="59" t="s">
        <v>123</v>
      </c>
      <c r="G231" s="59" t="s">
        <v>123</v>
      </c>
      <c r="H231" s="59" t="s">
        <v>123</v>
      </c>
      <c r="I231" s="59" t="s">
        <v>123</v>
      </c>
      <c r="J231" s="59" t="s">
        <v>123</v>
      </c>
      <c r="K231" s="59" t="s">
        <v>123</v>
      </c>
      <c r="L231" s="59" t="s">
        <v>123</v>
      </c>
      <c r="M231" s="59" t="s">
        <v>123</v>
      </c>
      <c r="N231" s="59" t="s">
        <v>123</v>
      </c>
      <c r="O231" s="59" t="s">
        <v>123</v>
      </c>
      <c r="P231" s="59" t="s">
        <v>123</v>
      </c>
      <c r="Q231" s="59" t="s">
        <v>123</v>
      </c>
      <c r="R231" s="59" t="s">
        <v>123</v>
      </c>
      <c r="S231" s="59" t="s">
        <v>123</v>
      </c>
      <c r="T231" s="59" t="s">
        <v>123</v>
      </c>
      <c r="U231" s="59" t="s">
        <v>123</v>
      </c>
      <c r="V231" s="59" t="s">
        <v>123</v>
      </c>
      <c r="W231" s="59" t="s">
        <v>123</v>
      </c>
      <c r="X231" s="59" t="s">
        <v>123</v>
      </c>
      <c r="Y231" s="59" t="s">
        <v>123</v>
      </c>
      <c r="Z231" s="59" t="s">
        <v>123</v>
      </c>
      <c r="AA231" s="59" t="s">
        <v>123</v>
      </c>
      <c r="AB231" s="59" t="s">
        <v>123</v>
      </c>
      <c r="AC231" s="59" t="s">
        <v>123</v>
      </c>
      <c r="AD231" s="59" t="s">
        <v>123</v>
      </c>
      <c r="AE231" s="59" t="s">
        <v>123</v>
      </c>
      <c r="AF231" s="59" t="s">
        <v>123</v>
      </c>
      <c r="AG231" s="59" t="s">
        <v>123</v>
      </c>
      <c r="AH231" s="59" t="s">
        <v>123</v>
      </c>
      <c r="AI231" s="59"/>
      <c r="AJ231" s="59"/>
      <c r="AK231" s="59"/>
      <c r="AL231" s="59"/>
      <c r="AM231" s="59"/>
      <c r="AN231" s="59"/>
      <c r="AO231" s="59"/>
      <c r="AP231" s="58"/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8"/>
      <c r="BB231" s="58"/>
      <c r="BC231" s="58"/>
      <c r="BD231" s="28"/>
      <c r="BE231" s="28"/>
      <c r="BF231" s="28"/>
      <c r="BG231" s="56">
        <f t="shared" si="5"/>
        <v>0</v>
      </c>
      <c r="BH231" s="42">
        <f t="shared" si="6"/>
        <v>0</v>
      </c>
      <c r="BI231" s="43" t="str">
        <f t="shared" si="7"/>
        <v>#DIV/0!</v>
      </c>
      <c r="BJ231" s="44">
        <f t="shared" si="8"/>
        <v>0</v>
      </c>
      <c r="BK231" s="42">
        <f t="shared" si="9"/>
        <v>0</v>
      </c>
      <c r="BL231" s="28"/>
      <c r="BM231" s="28"/>
      <c r="BN231" s="28"/>
      <c r="BO231" s="28"/>
    </row>
    <row r="232">
      <c r="A232" s="14">
        <f t="shared" si="2"/>
        <v>229</v>
      </c>
      <c r="B232" s="83">
        <f t="shared" si="3"/>
        <v>46023</v>
      </c>
      <c r="C232" s="48">
        <v>46037.0</v>
      </c>
      <c r="D232" s="57">
        <f t="shared" si="4"/>
        <v>46037</v>
      </c>
      <c r="E232" s="59" t="s">
        <v>123</v>
      </c>
      <c r="F232" s="59" t="s">
        <v>123</v>
      </c>
      <c r="G232" s="59" t="s">
        <v>123</v>
      </c>
      <c r="H232" s="59" t="s">
        <v>123</v>
      </c>
      <c r="I232" s="59" t="s">
        <v>123</v>
      </c>
      <c r="J232" s="59" t="s">
        <v>123</v>
      </c>
      <c r="K232" s="59" t="s">
        <v>123</v>
      </c>
      <c r="L232" s="59" t="s">
        <v>123</v>
      </c>
      <c r="M232" s="59" t="s">
        <v>123</v>
      </c>
      <c r="N232" s="59" t="s">
        <v>123</v>
      </c>
      <c r="O232" s="59" t="s">
        <v>123</v>
      </c>
      <c r="P232" s="59" t="s">
        <v>123</v>
      </c>
      <c r="Q232" s="59" t="s">
        <v>123</v>
      </c>
      <c r="R232" s="59" t="s">
        <v>123</v>
      </c>
      <c r="S232" s="59" t="s">
        <v>123</v>
      </c>
      <c r="T232" s="59" t="s">
        <v>123</v>
      </c>
      <c r="U232" s="59" t="s">
        <v>123</v>
      </c>
      <c r="V232" s="59" t="s">
        <v>123</v>
      </c>
      <c r="W232" s="59" t="s">
        <v>123</v>
      </c>
      <c r="X232" s="59" t="s">
        <v>123</v>
      </c>
      <c r="Y232" s="59" t="s">
        <v>123</v>
      </c>
      <c r="Z232" s="59" t="s">
        <v>123</v>
      </c>
      <c r="AA232" s="59" t="s">
        <v>123</v>
      </c>
      <c r="AB232" s="59" t="s">
        <v>123</v>
      </c>
      <c r="AC232" s="59" t="s">
        <v>123</v>
      </c>
      <c r="AD232" s="59" t="s">
        <v>123</v>
      </c>
      <c r="AE232" s="59" t="s">
        <v>123</v>
      </c>
      <c r="AF232" s="59" t="s">
        <v>123</v>
      </c>
      <c r="AG232" s="59" t="s">
        <v>123</v>
      </c>
      <c r="AH232" s="59" t="s">
        <v>123</v>
      </c>
      <c r="AI232" s="59"/>
      <c r="AJ232" s="59"/>
      <c r="AK232" s="59"/>
      <c r="AL232" s="59"/>
      <c r="AM232" s="59"/>
      <c r="AN232" s="59"/>
      <c r="AO232" s="59"/>
      <c r="AP232" s="58"/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8"/>
      <c r="BB232" s="58"/>
      <c r="BC232" s="58"/>
      <c r="BD232" s="28"/>
      <c r="BE232" s="28"/>
      <c r="BF232" s="28"/>
      <c r="BG232" s="56">
        <f t="shared" si="5"/>
        <v>0</v>
      </c>
      <c r="BH232" s="42">
        <f t="shared" si="6"/>
        <v>0</v>
      </c>
      <c r="BI232" s="43" t="str">
        <f t="shared" si="7"/>
        <v>#DIV/0!</v>
      </c>
      <c r="BJ232" s="44">
        <f t="shared" si="8"/>
        <v>0</v>
      </c>
      <c r="BK232" s="42">
        <f t="shared" si="9"/>
        <v>0</v>
      </c>
      <c r="BL232" s="28"/>
      <c r="BM232" s="28"/>
      <c r="BN232" s="28"/>
      <c r="BO232" s="28"/>
    </row>
    <row r="233">
      <c r="A233" s="14">
        <f t="shared" si="2"/>
        <v>230</v>
      </c>
      <c r="B233" s="83">
        <f t="shared" si="3"/>
        <v>46023</v>
      </c>
      <c r="C233" s="48">
        <v>46038.0</v>
      </c>
      <c r="D233" s="57">
        <f t="shared" si="4"/>
        <v>46038</v>
      </c>
      <c r="E233" s="84" t="s">
        <v>120</v>
      </c>
      <c r="F233" s="84" t="s">
        <v>120</v>
      </c>
      <c r="G233" s="84" t="s">
        <v>120</v>
      </c>
      <c r="H233" s="84" t="s">
        <v>121</v>
      </c>
      <c r="I233" s="84" t="s">
        <v>120</v>
      </c>
      <c r="J233" s="84" t="s">
        <v>120</v>
      </c>
      <c r="K233" s="84" t="s">
        <v>120</v>
      </c>
      <c r="L233" s="84" t="s">
        <v>120</v>
      </c>
      <c r="M233" s="84" t="s">
        <v>120</v>
      </c>
      <c r="N233" s="84" t="s">
        <v>120</v>
      </c>
      <c r="O233" s="84" t="s">
        <v>120</v>
      </c>
      <c r="P233" s="84" t="s">
        <v>120</v>
      </c>
      <c r="Q233" s="84" t="s">
        <v>120</v>
      </c>
      <c r="R233" s="84" t="s">
        <v>120</v>
      </c>
      <c r="S233" s="84" t="s">
        <v>120</v>
      </c>
      <c r="T233" s="84" t="s">
        <v>121</v>
      </c>
      <c r="U233" s="84" t="s">
        <v>120</v>
      </c>
      <c r="V233" s="84" t="s">
        <v>121</v>
      </c>
      <c r="W233" s="84" t="s">
        <v>120</v>
      </c>
      <c r="X233" s="84" t="s">
        <v>120</v>
      </c>
      <c r="Y233" s="84" t="s">
        <v>121</v>
      </c>
      <c r="Z233" s="84" t="s">
        <v>121</v>
      </c>
      <c r="AA233" s="84" t="s">
        <v>120</v>
      </c>
      <c r="AB233" s="84" t="s">
        <v>92</v>
      </c>
      <c r="AC233" s="84" t="s">
        <v>120</v>
      </c>
      <c r="AD233" s="84" t="s">
        <v>120</v>
      </c>
      <c r="AE233" s="84" t="s">
        <v>120</v>
      </c>
      <c r="AF233" s="84" t="s">
        <v>120</v>
      </c>
      <c r="AG233" s="84" t="s">
        <v>120</v>
      </c>
      <c r="AH233" s="84" t="s">
        <v>120</v>
      </c>
      <c r="AI233" s="84"/>
      <c r="AJ233" s="84"/>
      <c r="AK233" s="84"/>
      <c r="AL233" s="84"/>
      <c r="AM233" s="84"/>
      <c r="AN233" s="84"/>
      <c r="AO233" s="84"/>
      <c r="AP233" s="58"/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8"/>
      <c r="BB233" s="58"/>
      <c r="BC233" s="58"/>
      <c r="BD233" s="28"/>
      <c r="BE233" s="28"/>
      <c r="BF233" s="28"/>
      <c r="BG233" s="56">
        <f t="shared" si="5"/>
        <v>30</v>
      </c>
      <c r="BH233" s="42">
        <f t="shared" si="6"/>
        <v>24</v>
      </c>
      <c r="BI233" s="43">
        <f t="shared" si="7"/>
        <v>0.8</v>
      </c>
      <c r="BJ233" s="44">
        <f t="shared" si="8"/>
        <v>5</v>
      </c>
      <c r="BK233" s="42">
        <f t="shared" si="9"/>
        <v>1</v>
      </c>
      <c r="BL233" s="28"/>
      <c r="BM233" s="28"/>
      <c r="BN233" s="28"/>
      <c r="BO233" s="28"/>
    </row>
    <row r="234">
      <c r="A234" s="14">
        <f t="shared" si="2"/>
        <v>231</v>
      </c>
      <c r="B234" s="83">
        <f t="shared" si="3"/>
        <v>46023</v>
      </c>
      <c r="C234" s="48">
        <v>46039.0</v>
      </c>
      <c r="D234" s="57">
        <f t="shared" si="4"/>
        <v>46039</v>
      </c>
      <c r="E234" s="59" t="s">
        <v>120</v>
      </c>
      <c r="F234" s="59" t="s">
        <v>120</v>
      </c>
      <c r="G234" s="59" t="s">
        <v>120</v>
      </c>
      <c r="H234" s="59" t="s">
        <v>121</v>
      </c>
      <c r="I234" s="59" t="s">
        <v>120</v>
      </c>
      <c r="J234" s="59" t="s">
        <v>120</v>
      </c>
      <c r="K234" s="59" t="s">
        <v>120</v>
      </c>
      <c r="L234" s="59" t="s">
        <v>120</v>
      </c>
      <c r="M234" s="59" t="s">
        <v>120</v>
      </c>
      <c r="N234" s="59" t="s">
        <v>120</v>
      </c>
      <c r="O234" s="59" t="s">
        <v>120</v>
      </c>
      <c r="P234" s="59" t="s">
        <v>120</v>
      </c>
      <c r="Q234" s="59" t="s">
        <v>120</v>
      </c>
      <c r="R234" s="59" t="s">
        <v>120</v>
      </c>
      <c r="S234" s="59" t="s">
        <v>120</v>
      </c>
      <c r="T234" s="59" t="s">
        <v>121</v>
      </c>
      <c r="U234" s="59" t="s">
        <v>120</v>
      </c>
      <c r="V234" s="59" t="s">
        <v>121</v>
      </c>
      <c r="W234" s="59" t="s">
        <v>120</v>
      </c>
      <c r="X234" s="59" t="s">
        <v>120</v>
      </c>
      <c r="Y234" s="59" t="s">
        <v>121</v>
      </c>
      <c r="Z234" s="59" t="s">
        <v>120</v>
      </c>
      <c r="AA234" s="59" t="s">
        <v>120</v>
      </c>
      <c r="AB234" s="59" t="s">
        <v>92</v>
      </c>
      <c r="AC234" s="59" t="s">
        <v>120</v>
      </c>
      <c r="AD234" s="59" t="s">
        <v>120</v>
      </c>
      <c r="AE234" s="59" t="s">
        <v>120</v>
      </c>
      <c r="AF234" s="59" t="s">
        <v>121</v>
      </c>
      <c r="AG234" s="59" t="s">
        <v>121</v>
      </c>
      <c r="AH234" s="59" t="s">
        <v>121</v>
      </c>
      <c r="AI234" s="59"/>
      <c r="AJ234" s="59"/>
      <c r="AK234" s="59"/>
      <c r="AL234" s="59"/>
      <c r="AM234" s="59"/>
      <c r="AN234" s="59"/>
      <c r="AO234" s="59"/>
      <c r="AP234" s="58"/>
      <c r="AQ234" s="58"/>
      <c r="AR234" s="58"/>
      <c r="AS234" s="58"/>
      <c r="AT234" s="58"/>
      <c r="AU234" s="58"/>
      <c r="AV234" s="58"/>
      <c r="AW234" s="58"/>
      <c r="AX234" s="58"/>
      <c r="AY234" s="58"/>
      <c r="AZ234" s="58"/>
      <c r="BA234" s="58"/>
      <c r="BB234" s="58"/>
      <c r="BC234" s="58"/>
      <c r="BD234" s="28"/>
      <c r="BE234" s="28"/>
      <c r="BF234" s="28"/>
      <c r="BG234" s="56">
        <f t="shared" si="5"/>
        <v>30</v>
      </c>
      <c r="BH234" s="42">
        <f t="shared" si="6"/>
        <v>22</v>
      </c>
      <c r="BI234" s="43">
        <f t="shared" si="7"/>
        <v>0.7333333333</v>
      </c>
      <c r="BJ234" s="44">
        <f t="shared" si="8"/>
        <v>7</v>
      </c>
      <c r="BK234" s="42">
        <f t="shared" si="9"/>
        <v>1</v>
      </c>
      <c r="BL234" s="28"/>
      <c r="BM234" s="28"/>
      <c r="BN234" s="28"/>
      <c r="BO234" s="28"/>
    </row>
    <row r="235">
      <c r="A235" s="14">
        <f t="shared" si="2"/>
        <v>232</v>
      </c>
      <c r="B235" s="83">
        <f t="shared" si="3"/>
        <v>46023</v>
      </c>
      <c r="C235" s="48">
        <v>46040.0</v>
      </c>
      <c r="D235" s="49">
        <f t="shared" si="4"/>
        <v>46040</v>
      </c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78"/>
      <c r="BE235" s="78"/>
      <c r="BF235" s="78"/>
      <c r="BG235" s="56">
        <f t="shared" si="5"/>
        <v>0</v>
      </c>
      <c r="BH235" s="42">
        <f t="shared" si="6"/>
        <v>0</v>
      </c>
      <c r="BI235" s="43" t="str">
        <f t="shared" si="7"/>
        <v>#DIV/0!</v>
      </c>
      <c r="BJ235" s="44">
        <f t="shared" si="8"/>
        <v>0</v>
      </c>
      <c r="BK235" s="42">
        <f t="shared" si="9"/>
        <v>0</v>
      </c>
      <c r="BL235" s="28"/>
      <c r="BM235" s="28"/>
      <c r="BN235" s="28"/>
      <c r="BO235" s="28"/>
    </row>
    <row r="236">
      <c r="A236" s="14">
        <f t="shared" si="2"/>
        <v>233</v>
      </c>
      <c r="B236" s="83">
        <f t="shared" si="3"/>
        <v>46023</v>
      </c>
      <c r="C236" s="48">
        <v>46041.0</v>
      </c>
      <c r="D236" s="57">
        <f t="shared" si="4"/>
        <v>46041</v>
      </c>
      <c r="E236" s="59" t="s">
        <v>120</v>
      </c>
      <c r="F236" s="59" t="s">
        <v>120</v>
      </c>
      <c r="G236" s="59" t="s">
        <v>120</v>
      </c>
      <c r="H236" s="59" t="s">
        <v>121</v>
      </c>
      <c r="I236" s="59" t="s">
        <v>120</v>
      </c>
      <c r="J236" s="59" t="s">
        <v>120</v>
      </c>
      <c r="K236" s="59" t="s">
        <v>120</v>
      </c>
      <c r="L236" s="59" t="s">
        <v>120</v>
      </c>
      <c r="M236" s="59" t="s">
        <v>120</v>
      </c>
      <c r="N236" s="59" t="s">
        <v>120</v>
      </c>
      <c r="O236" s="59" t="s">
        <v>120</v>
      </c>
      <c r="P236" s="59" t="s">
        <v>120</v>
      </c>
      <c r="Q236" s="59" t="s">
        <v>120</v>
      </c>
      <c r="R236" s="59" t="s">
        <v>121</v>
      </c>
      <c r="S236" s="59" t="s">
        <v>120</v>
      </c>
      <c r="T236" s="59" t="s">
        <v>121</v>
      </c>
      <c r="U236" s="59" t="s">
        <v>120</v>
      </c>
      <c r="V236" s="59" t="s">
        <v>120</v>
      </c>
      <c r="W236" s="59" t="s">
        <v>120</v>
      </c>
      <c r="X236" s="59" t="s">
        <v>120</v>
      </c>
      <c r="Y236" s="59" t="s">
        <v>121</v>
      </c>
      <c r="Z236" s="59" t="s">
        <v>120</v>
      </c>
      <c r="AA236" s="59" t="s">
        <v>120</v>
      </c>
      <c r="AB236" s="59" t="s">
        <v>92</v>
      </c>
      <c r="AC236" s="59" t="s">
        <v>120</v>
      </c>
      <c r="AD236" s="59" t="s">
        <v>120</v>
      </c>
      <c r="AE236" s="59" t="s">
        <v>120</v>
      </c>
      <c r="AF236" s="59" t="s">
        <v>120</v>
      </c>
      <c r="AG236" s="59" t="s">
        <v>120</v>
      </c>
      <c r="AH236" s="59" t="s">
        <v>120</v>
      </c>
      <c r="AI236" s="59"/>
      <c r="AJ236" s="59"/>
      <c r="AK236" s="59"/>
      <c r="AL236" s="59"/>
      <c r="AM236" s="59"/>
      <c r="AN236" s="59"/>
      <c r="AO236" s="59"/>
      <c r="AP236" s="58"/>
      <c r="AQ236" s="58"/>
      <c r="AR236" s="58"/>
      <c r="AS236" s="58"/>
      <c r="AT236" s="58"/>
      <c r="AU236" s="58"/>
      <c r="AV236" s="58"/>
      <c r="AW236" s="58"/>
      <c r="AX236" s="58"/>
      <c r="AY236" s="58"/>
      <c r="AZ236" s="58"/>
      <c r="BA236" s="58"/>
      <c r="BB236" s="58"/>
      <c r="BC236" s="58"/>
      <c r="BD236" s="28"/>
      <c r="BE236" s="28"/>
      <c r="BF236" s="28"/>
      <c r="BG236" s="56">
        <f t="shared" si="5"/>
        <v>30</v>
      </c>
      <c r="BH236" s="42">
        <f t="shared" si="6"/>
        <v>25</v>
      </c>
      <c r="BI236" s="43">
        <f t="shared" si="7"/>
        <v>0.8333333333</v>
      </c>
      <c r="BJ236" s="44">
        <f t="shared" si="8"/>
        <v>4</v>
      </c>
      <c r="BK236" s="42">
        <f t="shared" si="9"/>
        <v>1</v>
      </c>
      <c r="BL236" s="28"/>
      <c r="BM236" s="28"/>
      <c r="BN236" s="28"/>
      <c r="BO236" s="28"/>
    </row>
    <row r="237">
      <c r="A237" s="14">
        <f t="shared" si="2"/>
        <v>234</v>
      </c>
      <c r="B237" s="83">
        <f t="shared" si="3"/>
        <v>46023</v>
      </c>
      <c r="C237" s="48">
        <v>46042.0</v>
      </c>
      <c r="D237" s="57">
        <f t="shared" si="4"/>
        <v>46042</v>
      </c>
      <c r="E237" s="59" t="s">
        <v>120</v>
      </c>
      <c r="F237" s="59" t="s">
        <v>120</v>
      </c>
      <c r="G237" s="59" t="s">
        <v>120</v>
      </c>
      <c r="H237" s="59" t="s">
        <v>121</v>
      </c>
      <c r="I237" s="59" t="s">
        <v>120</v>
      </c>
      <c r="J237" s="59" t="s">
        <v>120</v>
      </c>
      <c r="K237" s="59" t="s">
        <v>120</v>
      </c>
      <c r="L237" s="59" t="s">
        <v>120</v>
      </c>
      <c r="M237" s="59" t="s">
        <v>120</v>
      </c>
      <c r="N237" s="59" t="s">
        <v>120</v>
      </c>
      <c r="O237" s="59" t="s">
        <v>120</v>
      </c>
      <c r="P237" s="59" t="s">
        <v>120</v>
      </c>
      <c r="Q237" s="59" t="s">
        <v>120</v>
      </c>
      <c r="R237" s="59" t="s">
        <v>120</v>
      </c>
      <c r="S237" s="59" t="s">
        <v>120</v>
      </c>
      <c r="T237" s="59" t="s">
        <v>121</v>
      </c>
      <c r="U237" s="59" t="s">
        <v>120</v>
      </c>
      <c r="V237" s="59" t="s">
        <v>120</v>
      </c>
      <c r="W237" s="59" t="s">
        <v>120</v>
      </c>
      <c r="X237" s="59" t="s">
        <v>120</v>
      </c>
      <c r="Y237" s="59" t="s">
        <v>121</v>
      </c>
      <c r="Z237" s="59" t="s">
        <v>121</v>
      </c>
      <c r="AA237" s="59" t="s">
        <v>120</v>
      </c>
      <c r="AB237" s="59" t="s">
        <v>92</v>
      </c>
      <c r="AC237" s="59" t="s">
        <v>121</v>
      </c>
      <c r="AD237" s="59" t="s">
        <v>120</v>
      </c>
      <c r="AE237" s="59" t="s">
        <v>120</v>
      </c>
      <c r="AF237" s="59" t="s">
        <v>120</v>
      </c>
      <c r="AG237" s="59" t="s">
        <v>120</v>
      </c>
      <c r="AH237" s="59" t="s">
        <v>120</v>
      </c>
      <c r="AI237" s="60"/>
      <c r="AJ237" s="60"/>
      <c r="AK237" s="60"/>
      <c r="AL237" s="60"/>
      <c r="AM237" s="60"/>
      <c r="AN237" s="60"/>
      <c r="AO237" s="60"/>
      <c r="AP237" s="58"/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8"/>
      <c r="BB237" s="58"/>
      <c r="BC237" s="58"/>
      <c r="BD237" s="28"/>
      <c r="BE237" s="28"/>
      <c r="BF237" s="28"/>
      <c r="BG237" s="56">
        <f t="shared" si="5"/>
        <v>30</v>
      </c>
      <c r="BH237" s="42">
        <f t="shared" si="6"/>
        <v>24</v>
      </c>
      <c r="BI237" s="43">
        <f t="shared" si="7"/>
        <v>0.8</v>
      </c>
      <c r="BJ237" s="44">
        <f t="shared" si="8"/>
        <v>5</v>
      </c>
      <c r="BK237" s="42">
        <f t="shared" si="9"/>
        <v>1</v>
      </c>
      <c r="BL237" s="28"/>
      <c r="BM237" s="28"/>
      <c r="BN237" s="28"/>
      <c r="BO237" s="28"/>
    </row>
    <row r="238">
      <c r="A238" s="14">
        <f t="shared" si="2"/>
        <v>235</v>
      </c>
      <c r="B238" s="83">
        <f t="shared" si="3"/>
        <v>46023</v>
      </c>
      <c r="C238" s="48">
        <v>46043.0</v>
      </c>
      <c r="D238" s="57">
        <f t="shared" si="4"/>
        <v>46043</v>
      </c>
      <c r="E238" s="59" t="s">
        <v>121</v>
      </c>
      <c r="F238" s="59" t="s">
        <v>120</v>
      </c>
      <c r="G238" s="59" t="s">
        <v>120</v>
      </c>
      <c r="H238" s="59" t="s">
        <v>121</v>
      </c>
      <c r="I238" s="59" t="s">
        <v>120</v>
      </c>
      <c r="J238" s="59" t="s">
        <v>120</v>
      </c>
      <c r="K238" s="59" t="s">
        <v>120</v>
      </c>
      <c r="L238" s="59" t="s">
        <v>120</v>
      </c>
      <c r="M238" s="59" t="s">
        <v>120</v>
      </c>
      <c r="N238" s="59" t="s">
        <v>120</v>
      </c>
      <c r="O238" s="59" t="s">
        <v>120</v>
      </c>
      <c r="P238" s="59" t="s">
        <v>120</v>
      </c>
      <c r="Q238" s="59" t="s">
        <v>120</v>
      </c>
      <c r="R238" s="59" t="s">
        <v>120</v>
      </c>
      <c r="S238" s="59" t="s">
        <v>120</v>
      </c>
      <c r="T238" s="59" t="s">
        <v>121</v>
      </c>
      <c r="U238" s="59" t="s">
        <v>120</v>
      </c>
      <c r="V238" s="59" t="s">
        <v>121</v>
      </c>
      <c r="W238" s="59" t="s">
        <v>120</v>
      </c>
      <c r="X238" s="59" t="s">
        <v>120</v>
      </c>
      <c r="Y238" s="59" t="s">
        <v>121</v>
      </c>
      <c r="Z238" s="59" t="s">
        <v>120</v>
      </c>
      <c r="AA238" s="59" t="s">
        <v>121</v>
      </c>
      <c r="AB238" s="59" t="s">
        <v>92</v>
      </c>
      <c r="AC238" s="59" t="s">
        <v>120</v>
      </c>
      <c r="AD238" s="59" t="s">
        <v>120</v>
      </c>
      <c r="AE238" s="59" t="s">
        <v>120</v>
      </c>
      <c r="AF238" s="59" t="s">
        <v>120</v>
      </c>
      <c r="AG238" s="59" t="s">
        <v>120</v>
      </c>
      <c r="AH238" s="59" t="s">
        <v>120</v>
      </c>
      <c r="AI238" s="59"/>
      <c r="AJ238" s="59"/>
      <c r="AK238" s="59"/>
      <c r="AL238" s="59"/>
      <c r="AM238" s="59"/>
      <c r="AN238" s="59"/>
      <c r="AO238" s="59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28"/>
      <c r="BE238" s="28"/>
      <c r="BF238" s="28"/>
      <c r="BG238" s="56">
        <f t="shared" si="5"/>
        <v>30</v>
      </c>
      <c r="BH238" s="42">
        <f t="shared" si="6"/>
        <v>23</v>
      </c>
      <c r="BI238" s="43">
        <f t="shared" si="7"/>
        <v>0.7666666667</v>
      </c>
      <c r="BJ238" s="44">
        <f t="shared" si="8"/>
        <v>6</v>
      </c>
      <c r="BK238" s="42">
        <f t="shared" si="9"/>
        <v>1</v>
      </c>
      <c r="BL238" s="28"/>
      <c r="BM238" s="28"/>
      <c r="BN238" s="28"/>
      <c r="BO238" s="28"/>
    </row>
    <row r="239">
      <c r="A239" s="14">
        <f t="shared" si="2"/>
        <v>236</v>
      </c>
      <c r="B239" s="83">
        <f t="shared" si="3"/>
        <v>46023</v>
      </c>
      <c r="C239" s="48">
        <v>46044.0</v>
      </c>
      <c r="D239" s="57">
        <f t="shared" si="4"/>
        <v>46044</v>
      </c>
      <c r="E239" s="59" t="s">
        <v>121</v>
      </c>
      <c r="F239" s="59" t="s">
        <v>120</v>
      </c>
      <c r="G239" s="59" t="s">
        <v>120</v>
      </c>
      <c r="H239" s="59" t="s">
        <v>121</v>
      </c>
      <c r="I239" s="59" t="s">
        <v>120</v>
      </c>
      <c r="J239" s="59" t="s">
        <v>120</v>
      </c>
      <c r="K239" s="59" t="s">
        <v>120</v>
      </c>
      <c r="L239" s="59" t="s">
        <v>120</v>
      </c>
      <c r="M239" s="59" t="s">
        <v>120</v>
      </c>
      <c r="N239" s="59" t="s">
        <v>120</v>
      </c>
      <c r="O239" s="59" t="s">
        <v>120</v>
      </c>
      <c r="P239" s="59" t="s">
        <v>120</v>
      </c>
      <c r="Q239" s="59" t="s">
        <v>120</v>
      </c>
      <c r="R239" s="59" t="s">
        <v>120</v>
      </c>
      <c r="S239" s="59" t="s">
        <v>120</v>
      </c>
      <c r="T239" s="59" t="s">
        <v>121</v>
      </c>
      <c r="U239" s="59" t="s">
        <v>120</v>
      </c>
      <c r="V239" s="59" t="s">
        <v>120</v>
      </c>
      <c r="W239" s="59" t="s">
        <v>120</v>
      </c>
      <c r="X239" s="59" t="s">
        <v>120</v>
      </c>
      <c r="Y239" s="59" t="s">
        <v>121</v>
      </c>
      <c r="Z239" s="59" t="s">
        <v>121</v>
      </c>
      <c r="AA239" s="59" t="s">
        <v>120</v>
      </c>
      <c r="AB239" s="59" t="s">
        <v>92</v>
      </c>
      <c r="AC239" s="59" t="s">
        <v>120</v>
      </c>
      <c r="AD239" s="59" t="s">
        <v>120</v>
      </c>
      <c r="AE239" s="59" t="s">
        <v>120</v>
      </c>
      <c r="AF239" s="59" t="s">
        <v>121</v>
      </c>
      <c r="AG239" s="59" t="s">
        <v>121</v>
      </c>
      <c r="AH239" s="59" t="s">
        <v>121</v>
      </c>
      <c r="AI239" s="59"/>
      <c r="AJ239" s="59"/>
      <c r="AK239" s="59"/>
      <c r="AL239" s="59"/>
      <c r="AM239" s="59"/>
      <c r="AN239" s="59"/>
      <c r="AO239" s="59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28"/>
      <c r="BE239" s="28"/>
      <c r="BF239" s="28"/>
      <c r="BG239" s="56">
        <f t="shared" si="5"/>
        <v>30</v>
      </c>
      <c r="BH239" s="42">
        <f t="shared" si="6"/>
        <v>21</v>
      </c>
      <c r="BI239" s="43">
        <f t="shared" si="7"/>
        <v>0.7</v>
      </c>
      <c r="BJ239" s="44">
        <f t="shared" si="8"/>
        <v>8</v>
      </c>
      <c r="BK239" s="42">
        <f t="shared" si="9"/>
        <v>1</v>
      </c>
      <c r="BL239" s="28"/>
      <c r="BM239" s="28"/>
      <c r="BN239" s="28"/>
      <c r="BO239" s="28"/>
    </row>
    <row r="240">
      <c r="A240" s="14">
        <f t="shared" si="2"/>
        <v>237</v>
      </c>
      <c r="B240" s="83">
        <f t="shared" si="3"/>
        <v>46023</v>
      </c>
      <c r="C240" s="48">
        <v>46045.0</v>
      </c>
      <c r="D240" s="57">
        <f t="shared" si="4"/>
        <v>46045</v>
      </c>
      <c r="E240" s="59" t="s">
        <v>121</v>
      </c>
      <c r="F240" s="59" t="s">
        <v>120</v>
      </c>
      <c r="G240" s="59" t="s">
        <v>120</v>
      </c>
      <c r="H240" s="59" t="s">
        <v>121</v>
      </c>
      <c r="I240" s="59" t="s">
        <v>120</v>
      </c>
      <c r="J240" s="59" t="s">
        <v>120</v>
      </c>
      <c r="K240" s="59" t="s">
        <v>120</v>
      </c>
      <c r="L240" s="59" t="s">
        <v>120</v>
      </c>
      <c r="M240" s="59" t="s">
        <v>120</v>
      </c>
      <c r="N240" s="59" t="s">
        <v>120</v>
      </c>
      <c r="O240" s="59" t="s">
        <v>120</v>
      </c>
      <c r="P240" s="59" t="s">
        <v>120</v>
      </c>
      <c r="Q240" s="59" t="s">
        <v>120</v>
      </c>
      <c r="R240" s="59" t="s">
        <v>121</v>
      </c>
      <c r="S240" s="59" t="s">
        <v>121</v>
      </c>
      <c r="T240" s="59" t="s">
        <v>121</v>
      </c>
      <c r="U240" s="59" t="s">
        <v>121</v>
      </c>
      <c r="V240" s="59" t="s">
        <v>121</v>
      </c>
      <c r="W240" s="59" t="s">
        <v>120</v>
      </c>
      <c r="X240" s="59" t="s">
        <v>120</v>
      </c>
      <c r="Y240" s="59" t="s">
        <v>121</v>
      </c>
      <c r="Z240" s="59" t="s">
        <v>121</v>
      </c>
      <c r="AA240" s="59" t="s">
        <v>121</v>
      </c>
      <c r="AB240" s="59" t="s">
        <v>92</v>
      </c>
      <c r="AC240" s="59" t="s">
        <v>121</v>
      </c>
      <c r="AD240" s="59" t="s">
        <v>120</v>
      </c>
      <c r="AE240" s="59" t="s">
        <v>120</v>
      </c>
      <c r="AF240" s="59" t="s">
        <v>120</v>
      </c>
      <c r="AG240" s="59" t="s">
        <v>120</v>
      </c>
      <c r="AH240" s="59" t="s">
        <v>120</v>
      </c>
      <c r="AI240" s="59"/>
      <c r="AJ240" s="59"/>
      <c r="AK240" s="59"/>
      <c r="AL240" s="59"/>
      <c r="AM240" s="59"/>
      <c r="AN240" s="59"/>
      <c r="AO240" s="59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28"/>
      <c r="BE240" s="28"/>
      <c r="BF240" s="28"/>
      <c r="BG240" s="56">
        <f t="shared" si="5"/>
        <v>30</v>
      </c>
      <c r="BH240" s="42">
        <f t="shared" si="6"/>
        <v>18</v>
      </c>
      <c r="BI240" s="43">
        <f t="shared" si="7"/>
        <v>0.6</v>
      </c>
      <c r="BJ240" s="44">
        <f t="shared" si="8"/>
        <v>11</v>
      </c>
      <c r="BK240" s="42">
        <f t="shared" si="9"/>
        <v>1</v>
      </c>
      <c r="BL240" s="28"/>
      <c r="BM240" s="28"/>
      <c r="BN240" s="28"/>
      <c r="BO240" s="28"/>
    </row>
    <row r="241">
      <c r="A241" s="14">
        <f t="shared" si="2"/>
        <v>238</v>
      </c>
      <c r="B241" s="83">
        <f t="shared" si="3"/>
        <v>46023</v>
      </c>
      <c r="C241" s="48">
        <v>46046.0</v>
      </c>
      <c r="D241" s="57">
        <f t="shared" si="4"/>
        <v>46046</v>
      </c>
      <c r="E241" s="59" t="s">
        <v>121</v>
      </c>
      <c r="F241" s="59" t="s">
        <v>120</v>
      </c>
      <c r="G241" s="59" t="s">
        <v>121</v>
      </c>
      <c r="H241" s="59" t="s">
        <v>121</v>
      </c>
      <c r="I241" s="59" t="s">
        <v>120</v>
      </c>
      <c r="J241" s="59" t="s">
        <v>121</v>
      </c>
      <c r="K241" s="59" t="s">
        <v>120</v>
      </c>
      <c r="L241" s="59" t="s">
        <v>120</v>
      </c>
      <c r="M241" s="59" t="s">
        <v>120</v>
      </c>
      <c r="N241" s="59" t="s">
        <v>120</v>
      </c>
      <c r="O241" s="59" t="s">
        <v>120</v>
      </c>
      <c r="P241" s="59" t="s">
        <v>120</v>
      </c>
      <c r="Q241" s="59" t="s">
        <v>120</v>
      </c>
      <c r="R241" s="59" t="s">
        <v>120</v>
      </c>
      <c r="S241" s="59" t="s">
        <v>120</v>
      </c>
      <c r="T241" s="59" t="s">
        <v>121</v>
      </c>
      <c r="U241" s="59" t="s">
        <v>120</v>
      </c>
      <c r="V241" s="59" t="s">
        <v>120</v>
      </c>
      <c r="W241" s="59" t="s">
        <v>120</v>
      </c>
      <c r="X241" s="59" t="s">
        <v>120</v>
      </c>
      <c r="Y241" s="59" t="s">
        <v>121</v>
      </c>
      <c r="Z241" s="59" t="s">
        <v>120</v>
      </c>
      <c r="AA241" s="59" t="s">
        <v>120</v>
      </c>
      <c r="AB241" s="59" t="s">
        <v>92</v>
      </c>
      <c r="AC241" s="59" t="s">
        <v>120</v>
      </c>
      <c r="AD241" s="59" t="s">
        <v>120</v>
      </c>
      <c r="AE241" s="59" t="s">
        <v>120</v>
      </c>
      <c r="AF241" s="59" t="s">
        <v>120</v>
      </c>
      <c r="AG241" s="59" t="s">
        <v>120</v>
      </c>
      <c r="AH241" s="59" t="s">
        <v>121</v>
      </c>
      <c r="AI241" s="59"/>
      <c r="AJ241" s="59"/>
      <c r="AK241" s="59"/>
      <c r="AL241" s="59"/>
      <c r="AM241" s="59"/>
      <c r="AN241" s="59"/>
      <c r="AO241" s="59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28"/>
      <c r="BE241" s="28"/>
      <c r="BF241" s="28"/>
      <c r="BG241" s="56">
        <f t="shared" si="5"/>
        <v>30</v>
      </c>
      <c r="BH241" s="42">
        <f t="shared" si="6"/>
        <v>22</v>
      </c>
      <c r="BI241" s="43">
        <f t="shared" si="7"/>
        <v>0.7333333333</v>
      </c>
      <c r="BJ241" s="44">
        <f t="shared" si="8"/>
        <v>7</v>
      </c>
      <c r="BK241" s="42">
        <f t="shared" si="9"/>
        <v>1</v>
      </c>
      <c r="BL241" s="28"/>
      <c r="BM241" s="28"/>
      <c r="BN241" s="28"/>
      <c r="BO241" s="28"/>
    </row>
    <row r="242">
      <c r="A242" s="14">
        <f t="shared" si="2"/>
        <v>239</v>
      </c>
      <c r="B242" s="83">
        <f t="shared" si="3"/>
        <v>46023</v>
      </c>
      <c r="C242" s="48">
        <v>46047.0</v>
      </c>
      <c r="D242" s="49">
        <f t="shared" si="4"/>
        <v>46047</v>
      </c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78"/>
      <c r="BE242" s="78"/>
      <c r="BF242" s="78"/>
      <c r="BG242" s="56">
        <f t="shared" si="5"/>
        <v>0</v>
      </c>
      <c r="BH242" s="42">
        <f t="shared" si="6"/>
        <v>0</v>
      </c>
      <c r="BI242" s="43" t="str">
        <f t="shared" si="7"/>
        <v>#DIV/0!</v>
      </c>
      <c r="BJ242" s="44">
        <f t="shared" si="8"/>
        <v>0</v>
      </c>
      <c r="BK242" s="42">
        <f t="shared" si="9"/>
        <v>0</v>
      </c>
      <c r="BL242" s="28"/>
      <c r="BM242" s="28"/>
      <c r="BN242" s="28"/>
      <c r="BO242" s="28"/>
    </row>
    <row r="243">
      <c r="A243" s="14">
        <f t="shared" si="2"/>
        <v>240</v>
      </c>
      <c r="B243" s="83">
        <f t="shared" si="3"/>
        <v>46023</v>
      </c>
      <c r="C243" s="48">
        <v>46048.0</v>
      </c>
      <c r="D243" s="57">
        <f t="shared" si="4"/>
        <v>46048</v>
      </c>
      <c r="E243" s="59" t="s">
        <v>120</v>
      </c>
      <c r="F243" s="59" t="s">
        <v>120</v>
      </c>
      <c r="G243" s="59" t="s">
        <v>120</v>
      </c>
      <c r="H243" s="59" t="s">
        <v>121</v>
      </c>
      <c r="I243" s="59" t="s">
        <v>120</v>
      </c>
      <c r="J243" s="59" t="s">
        <v>121</v>
      </c>
      <c r="K243" s="59" t="s">
        <v>120</v>
      </c>
      <c r="L243" s="59" t="s">
        <v>120</v>
      </c>
      <c r="M243" s="59" t="s">
        <v>120</v>
      </c>
      <c r="N243" s="59" t="s">
        <v>120</v>
      </c>
      <c r="O243" s="59" t="s">
        <v>120</v>
      </c>
      <c r="P243" s="59" t="s">
        <v>120</v>
      </c>
      <c r="Q243" s="59" t="s">
        <v>120</v>
      </c>
      <c r="R243" s="59" t="s">
        <v>120</v>
      </c>
      <c r="S243" s="59" t="s">
        <v>120</v>
      </c>
      <c r="T243" s="59" t="s">
        <v>121</v>
      </c>
      <c r="U243" s="59" t="s">
        <v>120</v>
      </c>
      <c r="V243" s="59" t="s">
        <v>120</v>
      </c>
      <c r="W243" s="59" t="s">
        <v>120</v>
      </c>
      <c r="X243" s="59" t="s">
        <v>120</v>
      </c>
      <c r="Y243" s="59" t="s">
        <v>121</v>
      </c>
      <c r="Z243" s="59" t="s">
        <v>120</v>
      </c>
      <c r="AA243" s="59" t="s">
        <v>120</v>
      </c>
      <c r="AB243" s="59" t="s">
        <v>92</v>
      </c>
      <c r="AC243" s="59" t="s">
        <v>120</v>
      </c>
      <c r="AD243" s="59" t="s">
        <v>120</v>
      </c>
      <c r="AE243" s="59" t="s">
        <v>121</v>
      </c>
      <c r="AF243" s="59" t="s">
        <v>120</v>
      </c>
      <c r="AG243" s="59" t="s">
        <v>120</v>
      </c>
      <c r="AH243" s="59" t="s">
        <v>121</v>
      </c>
      <c r="AI243" s="59"/>
      <c r="AJ243" s="59"/>
      <c r="AK243" s="59"/>
      <c r="AL243" s="59"/>
      <c r="AM243" s="59"/>
      <c r="AN243" s="59"/>
      <c r="AO243" s="59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28"/>
      <c r="BE243" s="28"/>
      <c r="BF243" s="28"/>
      <c r="BG243" s="56">
        <f t="shared" si="5"/>
        <v>30</v>
      </c>
      <c r="BH243" s="42">
        <f t="shared" si="6"/>
        <v>23</v>
      </c>
      <c r="BI243" s="43">
        <f t="shared" si="7"/>
        <v>0.7666666667</v>
      </c>
      <c r="BJ243" s="44">
        <f t="shared" si="8"/>
        <v>6</v>
      </c>
      <c r="BK243" s="42">
        <f t="shared" si="9"/>
        <v>1</v>
      </c>
      <c r="BL243" s="28"/>
      <c r="BM243" s="28"/>
      <c r="BN243" s="28"/>
      <c r="BO243" s="28"/>
    </row>
    <row r="244">
      <c r="A244" s="14">
        <f t="shared" si="2"/>
        <v>241</v>
      </c>
      <c r="B244" s="83">
        <f t="shared" si="3"/>
        <v>46023</v>
      </c>
      <c r="C244" s="48">
        <v>46049.0</v>
      </c>
      <c r="D244" s="57">
        <f t="shared" si="4"/>
        <v>46049</v>
      </c>
      <c r="E244" s="59" t="s">
        <v>120</v>
      </c>
      <c r="F244" s="59" t="s">
        <v>120</v>
      </c>
      <c r="G244" s="59" t="s">
        <v>120</v>
      </c>
      <c r="H244" s="59" t="s">
        <v>121</v>
      </c>
      <c r="I244" s="59" t="s">
        <v>120</v>
      </c>
      <c r="J244" s="59" t="s">
        <v>120</v>
      </c>
      <c r="K244" s="59" t="s">
        <v>120</v>
      </c>
      <c r="L244" s="59" t="s">
        <v>120</v>
      </c>
      <c r="M244" s="59" t="s">
        <v>120</v>
      </c>
      <c r="N244" s="59" t="s">
        <v>120</v>
      </c>
      <c r="O244" s="59" t="s">
        <v>120</v>
      </c>
      <c r="P244" s="59" t="s">
        <v>120</v>
      </c>
      <c r="Q244" s="59" t="s">
        <v>120</v>
      </c>
      <c r="R244" s="59" t="s">
        <v>121</v>
      </c>
      <c r="S244" s="59" t="s">
        <v>121</v>
      </c>
      <c r="T244" s="59" t="s">
        <v>121</v>
      </c>
      <c r="U244" s="59" t="s">
        <v>121</v>
      </c>
      <c r="V244" s="59" t="s">
        <v>120</v>
      </c>
      <c r="W244" s="59" t="s">
        <v>120</v>
      </c>
      <c r="X244" s="59" t="s">
        <v>120</v>
      </c>
      <c r="Y244" s="59" t="s">
        <v>121</v>
      </c>
      <c r="Z244" s="59" t="s">
        <v>121</v>
      </c>
      <c r="AA244" s="59" t="s">
        <v>120</v>
      </c>
      <c r="AB244" s="59" t="s">
        <v>92</v>
      </c>
      <c r="AC244" s="59" t="s">
        <v>121</v>
      </c>
      <c r="AD244" s="59" t="s">
        <v>120</v>
      </c>
      <c r="AE244" s="59" t="s">
        <v>121</v>
      </c>
      <c r="AF244" s="59" t="s">
        <v>121</v>
      </c>
      <c r="AG244" s="59" t="s">
        <v>121</v>
      </c>
      <c r="AH244" s="59" t="s">
        <v>121</v>
      </c>
      <c r="AI244" s="60"/>
      <c r="AJ244" s="60"/>
      <c r="AK244" s="60"/>
      <c r="AL244" s="60"/>
      <c r="AM244" s="60"/>
      <c r="AN244" s="60"/>
      <c r="AO244" s="60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28"/>
      <c r="BE244" s="28"/>
      <c r="BF244" s="28"/>
      <c r="BG244" s="56">
        <f t="shared" si="5"/>
        <v>30</v>
      </c>
      <c r="BH244" s="42">
        <f t="shared" si="6"/>
        <v>17</v>
      </c>
      <c r="BI244" s="43">
        <f t="shared" si="7"/>
        <v>0.5666666667</v>
      </c>
      <c r="BJ244" s="44">
        <f t="shared" si="8"/>
        <v>12</v>
      </c>
      <c r="BK244" s="42">
        <f t="shared" si="9"/>
        <v>1</v>
      </c>
      <c r="BL244" s="28"/>
      <c r="BM244" s="28"/>
      <c r="BN244" s="28"/>
      <c r="BO244" s="28"/>
    </row>
    <row r="245">
      <c r="A245" s="14">
        <f t="shared" si="2"/>
        <v>242</v>
      </c>
      <c r="B245" s="83">
        <f t="shared" si="3"/>
        <v>46023</v>
      </c>
      <c r="C245" s="48">
        <v>46050.0</v>
      </c>
      <c r="D245" s="57">
        <f t="shared" si="4"/>
        <v>46050</v>
      </c>
      <c r="E245" s="59" t="s">
        <v>121</v>
      </c>
      <c r="F245" s="59" t="s">
        <v>120</v>
      </c>
      <c r="G245" s="59" t="s">
        <v>120</v>
      </c>
      <c r="H245" s="59" t="s">
        <v>121</v>
      </c>
      <c r="I245" s="59" t="s">
        <v>120</v>
      </c>
      <c r="J245" s="59" t="s">
        <v>120</v>
      </c>
      <c r="K245" s="59" t="s">
        <v>120</v>
      </c>
      <c r="L245" s="59" t="s">
        <v>120</v>
      </c>
      <c r="M245" s="59" t="s">
        <v>120</v>
      </c>
      <c r="N245" s="59" t="s">
        <v>120</v>
      </c>
      <c r="O245" s="59" t="s">
        <v>120</v>
      </c>
      <c r="P245" s="59" t="s">
        <v>120</v>
      </c>
      <c r="Q245" s="59" t="s">
        <v>120</v>
      </c>
      <c r="R245" s="59" t="s">
        <v>120</v>
      </c>
      <c r="S245" s="59" t="s">
        <v>120</v>
      </c>
      <c r="T245" s="59" t="s">
        <v>121</v>
      </c>
      <c r="U245" s="59" t="s">
        <v>120</v>
      </c>
      <c r="V245" s="59" t="s">
        <v>121</v>
      </c>
      <c r="W245" s="59" t="s">
        <v>120</v>
      </c>
      <c r="X245" s="59" t="s">
        <v>121</v>
      </c>
      <c r="Y245" s="59" t="s">
        <v>121</v>
      </c>
      <c r="Z245" s="59" t="s">
        <v>120</v>
      </c>
      <c r="AA245" s="59" t="s">
        <v>121</v>
      </c>
      <c r="AB245" s="59" t="s">
        <v>92</v>
      </c>
      <c r="AC245" s="59" t="s">
        <v>120</v>
      </c>
      <c r="AD245" s="59" t="s">
        <v>120</v>
      </c>
      <c r="AE245" s="59" t="s">
        <v>120</v>
      </c>
      <c r="AF245" s="59" t="s">
        <v>120</v>
      </c>
      <c r="AG245" s="59" t="s">
        <v>120</v>
      </c>
      <c r="AH245" s="59" t="s">
        <v>120</v>
      </c>
      <c r="AI245" s="59"/>
      <c r="AJ245" s="59"/>
      <c r="AK245" s="59"/>
      <c r="AL245" s="59"/>
      <c r="AM245" s="59"/>
      <c r="AN245" s="59"/>
      <c r="AO245" s="59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28"/>
      <c r="BE245" s="28"/>
      <c r="BF245" s="28"/>
      <c r="BG245" s="56">
        <f t="shared" si="5"/>
        <v>30</v>
      </c>
      <c r="BH245" s="42">
        <f t="shared" si="6"/>
        <v>22</v>
      </c>
      <c r="BI245" s="43">
        <f t="shared" si="7"/>
        <v>0.7333333333</v>
      </c>
      <c r="BJ245" s="44">
        <f t="shared" si="8"/>
        <v>7</v>
      </c>
      <c r="BK245" s="42">
        <f t="shared" si="9"/>
        <v>1</v>
      </c>
      <c r="BL245" s="28"/>
      <c r="BM245" s="28"/>
      <c r="BN245" s="28"/>
      <c r="BO245" s="28"/>
    </row>
    <row r="246">
      <c r="A246" s="14">
        <f t="shared" si="2"/>
        <v>243</v>
      </c>
      <c r="B246" s="83">
        <f t="shared" si="3"/>
        <v>46023</v>
      </c>
      <c r="C246" s="48">
        <v>46051.0</v>
      </c>
      <c r="D246" s="57">
        <f t="shared" si="4"/>
        <v>46051</v>
      </c>
      <c r="E246" s="59" t="s">
        <v>121</v>
      </c>
      <c r="F246" s="59" t="s">
        <v>120</v>
      </c>
      <c r="G246" s="59" t="s">
        <v>120</v>
      </c>
      <c r="H246" s="59" t="s">
        <v>121</v>
      </c>
      <c r="I246" s="59" t="s">
        <v>120</v>
      </c>
      <c r="J246" s="59" t="s">
        <v>120</v>
      </c>
      <c r="K246" s="59" t="s">
        <v>120</v>
      </c>
      <c r="L246" s="59" t="s">
        <v>120</v>
      </c>
      <c r="M246" s="59" t="s">
        <v>120</v>
      </c>
      <c r="N246" s="59" t="s">
        <v>120</v>
      </c>
      <c r="O246" s="59" t="s">
        <v>120</v>
      </c>
      <c r="P246" s="59" t="s">
        <v>120</v>
      </c>
      <c r="Q246" s="59" t="s">
        <v>120</v>
      </c>
      <c r="R246" s="59" t="s">
        <v>120</v>
      </c>
      <c r="S246" s="59" t="s">
        <v>121</v>
      </c>
      <c r="T246" s="59" t="s">
        <v>121</v>
      </c>
      <c r="U246" s="59" t="s">
        <v>121</v>
      </c>
      <c r="V246" s="59" t="s">
        <v>121</v>
      </c>
      <c r="W246" s="59" t="s">
        <v>120</v>
      </c>
      <c r="X246" s="59" t="s">
        <v>120</v>
      </c>
      <c r="Y246" s="59" t="s">
        <v>121</v>
      </c>
      <c r="Z246" s="59" t="s">
        <v>121</v>
      </c>
      <c r="AA246" s="59" t="s">
        <v>121</v>
      </c>
      <c r="AB246" s="59" t="s">
        <v>92</v>
      </c>
      <c r="AC246" s="59" t="s">
        <v>120</v>
      </c>
      <c r="AD246" s="59" t="s">
        <v>120</v>
      </c>
      <c r="AE246" s="59" t="s">
        <v>120</v>
      </c>
      <c r="AF246" s="59" t="s">
        <v>120</v>
      </c>
      <c r="AG246" s="59" t="s">
        <v>120</v>
      </c>
      <c r="AH246" s="59" t="s">
        <v>120</v>
      </c>
      <c r="AI246" s="59"/>
      <c r="AJ246" s="59"/>
      <c r="AK246" s="59"/>
      <c r="AL246" s="59"/>
      <c r="AM246" s="59"/>
      <c r="AN246" s="59"/>
      <c r="AO246" s="59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28"/>
      <c r="BE246" s="28"/>
      <c r="BF246" s="28"/>
      <c r="BG246" s="56">
        <f t="shared" si="5"/>
        <v>30</v>
      </c>
      <c r="BH246" s="42">
        <f t="shared" si="6"/>
        <v>20</v>
      </c>
      <c r="BI246" s="43">
        <f t="shared" si="7"/>
        <v>0.6666666667</v>
      </c>
      <c r="BJ246" s="44">
        <f t="shared" si="8"/>
        <v>9</v>
      </c>
      <c r="BK246" s="42">
        <f t="shared" si="9"/>
        <v>1</v>
      </c>
      <c r="BL246" s="28"/>
      <c r="BM246" s="28"/>
      <c r="BN246" s="28"/>
      <c r="BO246" s="28"/>
    </row>
    <row r="247">
      <c r="A247" s="14">
        <f t="shared" si="2"/>
        <v>244</v>
      </c>
      <c r="B247" s="83">
        <f t="shared" si="3"/>
        <v>46023</v>
      </c>
      <c r="C247" s="48">
        <v>46052.0</v>
      </c>
      <c r="D247" s="57">
        <f t="shared" si="4"/>
        <v>46052</v>
      </c>
      <c r="E247" s="59" t="s">
        <v>121</v>
      </c>
      <c r="F247" s="59" t="s">
        <v>120</v>
      </c>
      <c r="G247" s="59" t="s">
        <v>120</v>
      </c>
      <c r="H247" s="59" t="s">
        <v>121</v>
      </c>
      <c r="I247" s="59" t="s">
        <v>120</v>
      </c>
      <c r="J247" s="59" t="s">
        <v>120</v>
      </c>
      <c r="K247" s="59" t="s">
        <v>120</v>
      </c>
      <c r="L247" s="59" t="s">
        <v>120</v>
      </c>
      <c r="M247" s="59" t="s">
        <v>120</v>
      </c>
      <c r="N247" s="59" t="s">
        <v>120</v>
      </c>
      <c r="O247" s="59" t="s">
        <v>120</v>
      </c>
      <c r="P247" s="59" t="s">
        <v>120</v>
      </c>
      <c r="Q247" s="59" t="s">
        <v>120</v>
      </c>
      <c r="R247" s="59" t="s">
        <v>120</v>
      </c>
      <c r="S247" s="59" t="s">
        <v>121</v>
      </c>
      <c r="T247" s="59" t="s">
        <v>121</v>
      </c>
      <c r="U247" s="59" t="s">
        <v>121</v>
      </c>
      <c r="V247" s="59" t="s">
        <v>121</v>
      </c>
      <c r="W247" s="59" t="s">
        <v>120</v>
      </c>
      <c r="X247" s="59" t="s">
        <v>120</v>
      </c>
      <c r="Y247" s="59" t="s">
        <v>121</v>
      </c>
      <c r="Z247" s="59" t="s">
        <v>121</v>
      </c>
      <c r="AA247" s="59" t="s">
        <v>121</v>
      </c>
      <c r="AB247" s="59" t="s">
        <v>92</v>
      </c>
      <c r="AC247" s="59" t="s">
        <v>120</v>
      </c>
      <c r="AD247" s="59" t="s">
        <v>120</v>
      </c>
      <c r="AE247" s="59" t="s">
        <v>120</v>
      </c>
      <c r="AF247" s="59" t="s">
        <v>120</v>
      </c>
      <c r="AG247" s="59" t="s">
        <v>120</v>
      </c>
      <c r="AH247" s="59" t="s">
        <v>120</v>
      </c>
      <c r="AI247" s="59"/>
      <c r="AJ247" s="59"/>
      <c r="AK247" s="59"/>
      <c r="AL247" s="59"/>
      <c r="AM247" s="59"/>
      <c r="AN247" s="59"/>
      <c r="AO247" s="59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28"/>
      <c r="BE247" s="28"/>
      <c r="BF247" s="28"/>
      <c r="BG247" s="56">
        <f t="shared" si="5"/>
        <v>30</v>
      </c>
      <c r="BH247" s="42">
        <f t="shared" si="6"/>
        <v>20</v>
      </c>
      <c r="BI247" s="43">
        <f t="shared" si="7"/>
        <v>0.6666666667</v>
      </c>
      <c r="BJ247" s="44">
        <f t="shared" si="8"/>
        <v>9</v>
      </c>
      <c r="BK247" s="42">
        <f t="shared" si="9"/>
        <v>1</v>
      </c>
      <c r="BL247" s="28"/>
      <c r="BM247" s="28"/>
      <c r="BN247" s="28"/>
      <c r="BO247" s="28"/>
    </row>
    <row r="248">
      <c r="A248" s="14">
        <f t="shared" si="2"/>
        <v>245</v>
      </c>
      <c r="B248" s="83">
        <f t="shared" si="3"/>
        <v>46023</v>
      </c>
      <c r="C248" s="48">
        <v>46053.0</v>
      </c>
      <c r="D248" s="57">
        <f t="shared" si="4"/>
        <v>46053</v>
      </c>
      <c r="E248" s="59" t="s">
        <v>120</v>
      </c>
      <c r="F248" s="59" t="s">
        <v>120</v>
      </c>
      <c r="G248" s="59" t="s">
        <v>120</v>
      </c>
      <c r="H248" s="59" t="s">
        <v>121</v>
      </c>
      <c r="I248" s="59" t="s">
        <v>120</v>
      </c>
      <c r="J248" s="59" t="s">
        <v>120</v>
      </c>
      <c r="K248" s="59" t="s">
        <v>120</v>
      </c>
      <c r="L248" s="59" t="s">
        <v>120</v>
      </c>
      <c r="M248" s="59" t="s">
        <v>121</v>
      </c>
      <c r="N248" s="59" t="s">
        <v>120</v>
      </c>
      <c r="O248" s="59" t="s">
        <v>120</v>
      </c>
      <c r="P248" s="59" t="s">
        <v>120</v>
      </c>
      <c r="Q248" s="59" t="s">
        <v>120</v>
      </c>
      <c r="R248" s="59" t="s">
        <v>120</v>
      </c>
      <c r="S248" s="59" t="s">
        <v>120</v>
      </c>
      <c r="T248" s="59" t="s">
        <v>121</v>
      </c>
      <c r="U248" s="59" t="s">
        <v>120</v>
      </c>
      <c r="V248" s="59" t="s">
        <v>120</v>
      </c>
      <c r="W248" s="59" t="s">
        <v>120</v>
      </c>
      <c r="X248" s="59" t="s">
        <v>120</v>
      </c>
      <c r="Y248" s="59" t="s">
        <v>121</v>
      </c>
      <c r="Z248" s="59" t="s">
        <v>120</v>
      </c>
      <c r="AA248" s="59" t="s">
        <v>120</v>
      </c>
      <c r="AB248" s="59" t="s">
        <v>92</v>
      </c>
      <c r="AC248" s="59" t="s">
        <v>120</v>
      </c>
      <c r="AD248" s="59" t="s">
        <v>120</v>
      </c>
      <c r="AE248" s="59" t="s">
        <v>120</v>
      </c>
      <c r="AF248" s="59" t="s">
        <v>120</v>
      </c>
      <c r="AG248" s="59" t="s">
        <v>120</v>
      </c>
      <c r="AH248" s="59" t="s">
        <v>120</v>
      </c>
      <c r="AI248" s="59"/>
      <c r="AJ248" s="59"/>
      <c r="AK248" s="59"/>
      <c r="AL248" s="59"/>
      <c r="AM248" s="59"/>
      <c r="AN248" s="59"/>
      <c r="AO248" s="59"/>
      <c r="AP248" s="58"/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8"/>
      <c r="BB248" s="58"/>
      <c r="BC248" s="58"/>
      <c r="BD248" s="28"/>
      <c r="BE248" s="28"/>
      <c r="BF248" s="28"/>
      <c r="BG248" s="56">
        <f t="shared" si="5"/>
        <v>30</v>
      </c>
      <c r="BH248" s="42">
        <f t="shared" si="6"/>
        <v>25</v>
      </c>
      <c r="BI248" s="43">
        <f t="shared" si="7"/>
        <v>0.8333333333</v>
      </c>
      <c r="BJ248" s="44">
        <f t="shared" si="8"/>
        <v>4</v>
      </c>
      <c r="BK248" s="42">
        <f t="shared" si="9"/>
        <v>1</v>
      </c>
      <c r="BL248" s="28"/>
      <c r="BM248" s="28"/>
      <c r="BN248" s="28"/>
      <c r="BO248" s="28"/>
    </row>
    <row r="249">
      <c r="A249" s="14">
        <f t="shared" si="2"/>
        <v>246</v>
      </c>
      <c r="B249" s="85">
        <f t="shared" si="3"/>
        <v>46054</v>
      </c>
      <c r="C249" s="48">
        <v>46054.0</v>
      </c>
      <c r="D249" s="49">
        <f t="shared" si="4"/>
        <v>46054</v>
      </c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78"/>
      <c r="BE249" s="78"/>
      <c r="BF249" s="78"/>
      <c r="BG249" s="56">
        <f t="shared" si="5"/>
        <v>0</v>
      </c>
      <c r="BH249" s="42">
        <f t="shared" si="6"/>
        <v>0</v>
      </c>
      <c r="BI249" s="43" t="str">
        <f t="shared" si="7"/>
        <v>#DIV/0!</v>
      </c>
      <c r="BJ249" s="44">
        <f t="shared" si="8"/>
        <v>0</v>
      </c>
      <c r="BK249" s="42">
        <f t="shared" si="9"/>
        <v>0</v>
      </c>
      <c r="BL249" s="28"/>
      <c r="BM249" s="28"/>
      <c r="BN249" s="28"/>
      <c r="BO249" s="28"/>
    </row>
    <row r="250">
      <c r="A250" s="14">
        <f t="shared" si="2"/>
        <v>247</v>
      </c>
      <c r="B250" s="85">
        <f t="shared" si="3"/>
        <v>46054</v>
      </c>
      <c r="C250" s="48">
        <v>46055.0</v>
      </c>
      <c r="D250" s="57">
        <f t="shared" si="4"/>
        <v>46055</v>
      </c>
      <c r="E250" s="59" t="s">
        <v>121</v>
      </c>
      <c r="F250" s="59" t="s">
        <v>120</v>
      </c>
      <c r="G250" s="59" t="s">
        <v>121</v>
      </c>
      <c r="H250" s="59" t="s">
        <v>121</v>
      </c>
      <c r="I250" s="59" t="s">
        <v>120</v>
      </c>
      <c r="J250" s="59" t="s">
        <v>120</v>
      </c>
      <c r="K250" s="59" t="s">
        <v>120</v>
      </c>
      <c r="L250" s="59" t="s">
        <v>120</v>
      </c>
      <c r="M250" s="59" t="s">
        <v>121</v>
      </c>
      <c r="N250" s="59" t="s">
        <v>120</v>
      </c>
      <c r="O250" s="59" t="s">
        <v>120</v>
      </c>
      <c r="P250" s="59" t="s">
        <v>121</v>
      </c>
      <c r="Q250" s="59" t="s">
        <v>120</v>
      </c>
      <c r="R250" s="59" t="s">
        <v>120</v>
      </c>
      <c r="S250" s="59" t="s">
        <v>121</v>
      </c>
      <c r="T250" s="59" t="s">
        <v>120</v>
      </c>
      <c r="U250" s="59" t="s">
        <v>121</v>
      </c>
      <c r="V250" s="59" t="s">
        <v>120</v>
      </c>
      <c r="W250" s="59" t="s">
        <v>120</v>
      </c>
      <c r="X250" s="59" t="s">
        <v>120</v>
      </c>
      <c r="Y250" s="59" t="s">
        <v>120</v>
      </c>
      <c r="Z250" s="59" t="s">
        <v>121</v>
      </c>
      <c r="AA250" s="59" t="s">
        <v>120</v>
      </c>
      <c r="AB250" s="59" t="s">
        <v>92</v>
      </c>
      <c r="AC250" s="59" t="s">
        <v>120</v>
      </c>
      <c r="AD250" s="59" t="s">
        <v>120</v>
      </c>
      <c r="AE250" s="59" t="s">
        <v>120</v>
      </c>
      <c r="AF250" s="59" t="s">
        <v>120</v>
      </c>
      <c r="AG250" s="59" t="s">
        <v>120</v>
      </c>
      <c r="AH250" s="59" t="s">
        <v>120</v>
      </c>
      <c r="AI250" s="59"/>
      <c r="AJ250" s="59"/>
      <c r="AK250" s="59"/>
      <c r="AL250" s="59"/>
      <c r="AM250" s="59"/>
      <c r="AN250" s="59"/>
      <c r="AO250" s="59"/>
      <c r="AP250" s="58"/>
      <c r="AQ250" s="58"/>
      <c r="AR250" s="58"/>
      <c r="AS250" s="58"/>
      <c r="AT250" s="58"/>
      <c r="AU250" s="58"/>
      <c r="AV250" s="58"/>
      <c r="AW250" s="58"/>
      <c r="AX250" s="58"/>
      <c r="AY250" s="58"/>
      <c r="AZ250" s="58"/>
      <c r="BA250" s="58"/>
      <c r="BB250" s="58"/>
      <c r="BC250" s="58"/>
      <c r="BD250" s="28"/>
      <c r="BE250" s="28"/>
      <c r="BF250" s="28"/>
      <c r="BG250" s="56">
        <f t="shared" si="5"/>
        <v>30</v>
      </c>
      <c r="BH250" s="42">
        <f t="shared" si="6"/>
        <v>21</v>
      </c>
      <c r="BI250" s="43">
        <f t="shared" si="7"/>
        <v>0.7</v>
      </c>
      <c r="BJ250" s="44">
        <f t="shared" si="8"/>
        <v>8</v>
      </c>
      <c r="BK250" s="42">
        <f t="shared" si="9"/>
        <v>1</v>
      </c>
      <c r="BL250" s="28"/>
      <c r="BM250" s="28"/>
      <c r="BN250" s="28"/>
      <c r="BO250" s="28"/>
    </row>
    <row r="251">
      <c r="A251" s="14">
        <f t="shared" si="2"/>
        <v>248</v>
      </c>
      <c r="B251" s="85">
        <f t="shared" si="3"/>
        <v>46054</v>
      </c>
      <c r="C251" s="48">
        <v>46056.0</v>
      </c>
      <c r="D251" s="57">
        <f t="shared" si="4"/>
        <v>46056</v>
      </c>
      <c r="E251" s="59" t="s">
        <v>120</v>
      </c>
      <c r="F251" s="59" t="s">
        <v>120</v>
      </c>
      <c r="G251" s="59" t="s">
        <v>120</v>
      </c>
      <c r="H251" s="59" t="s">
        <v>120</v>
      </c>
      <c r="I251" s="59" t="s">
        <v>120</v>
      </c>
      <c r="J251" s="59" t="s">
        <v>120</v>
      </c>
      <c r="K251" s="59" t="s">
        <v>120</v>
      </c>
      <c r="L251" s="59" t="s">
        <v>120</v>
      </c>
      <c r="M251" s="59" t="s">
        <v>120</v>
      </c>
      <c r="N251" s="59" t="s">
        <v>120</v>
      </c>
      <c r="O251" s="59" t="s">
        <v>120</v>
      </c>
      <c r="P251" s="59" t="s">
        <v>121</v>
      </c>
      <c r="Q251" s="59" t="s">
        <v>120</v>
      </c>
      <c r="R251" s="59" t="s">
        <v>120</v>
      </c>
      <c r="S251" s="59" t="s">
        <v>120</v>
      </c>
      <c r="T251" s="59" t="s">
        <v>120</v>
      </c>
      <c r="U251" s="59" t="s">
        <v>120</v>
      </c>
      <c r="V251" s="59" t="s">
        <v>120</v>
      </c>
      <c r="W251" s="59" t="s">
        <v>120</v>
      </c>
      <c r="X251" s="59" t="s">
        <v>120</v>
      </c>
      <c r="Y251" s="59" t="s">
        <v>120</v>
      </c>
      <c r="Z251" s="59" t="s">
        <v>120</v>
      </c>
      <c r="AA251" s="59" t="s">
        <v>120</v>
      </c>
      <c r="AB251" s="59" t="s">
        <v>92</v>
      </c>
      <c r="AC251" s="59" t="s">
        <v>120</v>
      </c>
      <c r="AD251" s="59" t="s">
        <v>120</v>
      </c>
      <c r="AE251" s="59" t="s">
        <v>120</v>
      </c>
      <c r="AF251" s="59" t="s">
        <v>121</v>
      </c>
      <c r="AG251" s="59" t="s">
        <v>121</v>
      </c>
      <c r="AH251" s="59" t="s">
        <v>121</v>
      </c>
      <c r="AI251" s="60"/>
      <c r="AJ251" s="60"/>
      <c r="AK251" s="60"/>
      <c r="AL251" s="60"/>
      <c r="AM251" s="60"/>
      <c r="AN251" s="60"/>
      <c r="AO251" s="60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28"/>
      <c r="BE251" s="28"/>
      <c r="BF251" s="28"/>
      <c r="BG251" s="56">
        <f t="shared" si="5"/>
        <v>30</v>
      </c>
      <c r="BH251" s="42">
        <f t="shared" si="6"/>
        <v>25</v>
      </c>
      <c r="BI251" s="43">
        <f t="shared" si="7"/>
        <v>0.8333333333</v>
      </c>
      <c r="BJ251" s="44">
        <f t="shared" si="8"/>
        <v>4</v>
      </c>
      <c r="BK251" s="42">
        <f t="shared" si="9"/>
        <v>1</v>
      </c>
      <c r="BL251" s="28"/>
      <c r="BM251" s="28"/>
      <c r="BN251" s="28"/>
      <c r="BO251" s="28"/>
    </row>
    <row r="252">
      <c r="A252" s="14">
        <f t="shared" si="2"/>
        <v>249</v>
      </c>
      <c r="B252" s="85">
        <f t="shared" si="3"/>
        <v>46054</v>
      </c>
      <c r="C252" s="48">
        <v>46057.0</v>
      </c>
      <c r="D252" s="57">
        <f t="shared" si="4"/>
        <v>46057</v>
      </c>
      <c r="E252" s="59" t="s">
        <v>121</v>
      </c>
      <c r="F252" s="59" t="s">
        <v>120</v>
      </c>
      <c r="G252" s="59" t="s">
        <v>120</v>
      </c>
      <c r="H252" s="59" t="s">
        <v>121</v>
      </c>
      <c r="I252" s="59" t="s">
        <v>120</v>
      </c>
      <c r="J252" s="59" t="s">
        <v>120</v>
      </c>
      <c r="K252" s="59" t="s">
        <v>120</v>
      </c>
      <c r="L252" s="59" t="s">
        <v>120</v>
      </c>
      <c r="M252" s="59" t="s">
        <v>120</v>
      </c>
      <c r="N252" s="59" t="s">
        <v>120</v>
      </c>
      <c r="O252" s="59" t="s">
        <v>120</v>
      </c>
      <c r="P252" s="59" t="s">
        <v>120</v>
      </c>
      <c r="Q252" s="59" t="s">
        <v>120</v>
      </c>
      <c r="R252" s="59" t="s">
        <v>120</v>
      </c>
      <c r="S252" s="59" t="s">
        <v>120</v>
      </c>
      <c r="T252" s="59" t="s">
        <v>120</v>
      </c>
      <c r="U252" s="59" t="s">
        <v>120</v>
      </c>
      <c r="V252" s="59" t="s">
        <v>121</v>
      </c>
      <c r="W252" s="59" t="s">
        <v>120</v>
      </c>
      <c r="X252" s="59" t="s">
        <v>120</v>
      </c>
      <c r="Y252" s="59" t="s">
        <v>121</v>
      </c>
      <c r="Z252" s="59" t="s">
        <v>120</v>
      </c>
      <c r="AA252" s="59" t="s">
        <v>120</v>
      </c>
      <c r="AB252" s="59" t="s">
        <v>92</v>
      </c>
      <c r="AC252" s="59" t="s">
        <v>120</v>
      </c>
      <c r="AD252" s="59" t="s">
        <v>120</v>
      </c>
      <c r="AE252" s="59" t="s">
        <v>120</v>
      </c>
      <c r="AF252" s="59" t="s">
        <v>120</v>
      </c>
      <c r="AG252" s="59" t="s">
        <v>120</v>
      </c>
      <c r="AH252" s="59" t="s">
        <v>120</v>
      </c>
      <c r="AI252" s="59"/>
      <c r="AJ252" s="59"/>
      <c r="AK252" s="59"/>
      <c r="AL252" s="59"/>
      <c r="AM252" s="59"/>
      <c r="AN252" s="59"/>
      <c r="AO252" s="59"/>
      <c r="AP252" s="58"/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8"/>
      <c r="BB252" s="58"/>
      <c r="BC252" s="58"/>
      <c r="BD252" s="28"/>
      <c r="BE252" s="28"/>
      <c r="BF252" s="28"/>
      <c r="BG252" s="56">
        <f t="shared" si="5"/>
        <v>30</v>
      </c>
      <c r="BH252" s="42">
        <f t="shared" si="6"/>
        <v>25</v>
      </c>
      <c r="BI252" s="43">
        <f t="shared" si="7"/>
        <v>0.8333333333</v>
      </c>
      <c r="BJ252" s="44">
        <f t="shared" si="8"/>
        <v>4</v>
      </c>
      <c r="BK252" s="42">
        <f t="shared" si="9"/>
        <v>1</v>
      </c>
      <c r="BL252" s="28"/>
      <c r="BM252" s="28"/>
      <c r="BN252" s="28"/>
      <c r="BO252" s="28"/>
    </row>
    <row r="253">
      <c r="A253" s="14">
        <f t="shared" si="2"/>
        <v>250</v>
      </c>
      <c r="B253" s="85">
        <f t="shared" si="3"/>
        <v>46054</v>
      </c>
      <c r="C253" s="48">
        <v>46058.0</v>
      </c>
      <c r="D253" s="57">
        <f t="shared" si="4"/>
        <v>46058</v>
      </c>
      <c r="E253" s="59" t="s">
        <v>121</v>
      </c>
      <c r="F253" s="59" t="s">
        <v>121</v>
      </c>
      <c r="G253" s="59" t="s">
        <v>120</v>
      </c>
      <c r="H253" s="59" t="s">
        <v>121</v>
      </c>
      <c r="I253" s="59" t="s">
        <v>120</v>
      </c>
      <c r="J253" s="59" t="s">
        <v>120</v>
      </c>
      <c r="K253" s="59" t="s">
        <v>120</v>
      </c>
      <c r="L253" s="59" t="s">
        <v>120</v>
      </c>
      <c r="M253" s="59" t="s">
        <v>120</v>
      </c>
      <c r="N253" s="59" t="s">
        <v>120</v>
      </c>
      <c r="O253" s="59" t="s">
        <v>120</v>
      </c>
      <c r="P253" s="59" t="s">
        <v>120</v>
      </c>
      <c r="Q253" s="59" t="s">
        <v>120</v>
      </c>
      <c r="R253" s="59" t="s">
        <v>120</v>
      </c>
      <c r="S253" s="59" t="s">
        <v>120</v>
      </c>
      <c r="T253" s="59" t="s">
        <v>121</v>
      </c>
      <c r="U253" s="59" t="s">
        <v>120</v>
      </c>
      <c r="V253" s="59" t="s">
        <v>121</v>
      </c>
      <c r="W253" s="59" t="s">
        <v>120</v>
      </c>
      <c r="X253" s="59" t="s">
        <v>120</v>
      </c>
      <c r="Y253" s="59" t="s">
        <v>120</v>
      </c>
      <c r="Z253" s="59" t="s">
        <v>120</v>
      </c>
      <c r="AA253" s="59" t="s">
        <v>121</v>
      </c>
      <c r="AB253" s="59" t="s">
        <v>92</v>
      </c>
      <c r="AC253" s="59" t="s">
        <v>120</v>
      </c>
      <c r="AD253" s="59" t="s">
        <v>120</v>
      </c>
      <c r="AE253" s="59" t="s">
        <v>120</v>
      </c>
      <c r="AF253" s="59" t="s">
        <v>120</v>
      </c>
      <c r="AG253" s="59" t="s">
        <v>120</v>
      </c>
      <c r="AH253" s="59" t="s">
        <v>120</v>
      </c>
      <c r="AI253" s="59"/>
      <c r="AJ253" s="59"/>
      <c r="AK253" s="59"/>
      <c r="AL253" s="59"/>
      <c r="AM253" s="59"/>
      <c r="AN253" s="59"/>
      <c r="AO253" s="59"/>
      <c r="AP253" s="58"/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8"/>
      <c r="BB253" s="58"/>
      <c r="BC253" s="58"/>
      <c r="BD253" s="28"/>
      <c r="BE253" s="28"/>
      <c r="BF253" s="28"/>
      <c r="BG253" s="56">
        <f t="shared" si="5"/>
        <v>30</v>
      </c>
      <c r="BH253" s="42">
        <f t="shared" si="6"/>
        <v>23</v>
      </c>
      <c r="BI253" s="43">
        <f t="shared" si="7"/>
        <v>0.7666666667</v>
      </c>
      <c r="BJ253" s="44">
        <f t="shared" si="8"/>
        <v>6</v>
      </c>
      <c r="BK253" s="42">
        <f t="shared" si="9"/>
        <v>1</v>
      </c>
      <c r="BL253" s="28"/>
      <c r="BM253" s="28"/>
      <c r="BN253" s="28"/>
      <c r="BO253" s="28"/>
    </row>
    <row r="254">
      <c r="A254" s="14">
        <f t="shared" si="2"/>
        <v>251</v>
      </c>
      <c r="B254" s="85">
        <f t="shared" si="3"/>
        <v>46054</v>
      </c>
      <c r="C254" s="48">
        <v>46059.0</v>
      </c>
      <c r="D254" s="57">
        <f t="shared" si="4"/>
        <v>46059</v>
      </c>
      <c r="E254" s="59" t="s">
        <v>121</v>
      </c>
      <c r="F254" s="59" t="s">
        <v>121</v>
      </c>
      <c r="G254" s="59" t="s">
        <v>121</v>
      </c>
      <c r="H254" s="59" t="s">
        <v>120</v>
      </c>
      <c r="I254" s="59" t="s">
        <v>120</v>
      </c>
      <c r="J254" s="59" t="s">
        <v>120</v>
      </c>
      <c r="K254" s="59" t="s">
        <v>120</v>
      </c>
      <c r="L254" s="59" t="s">
        <v>120</v>
      </c>
      <c r="M254" s="59" t="s">
        <v>121</v>
      </c>
      <c r="N254" s="59" t="s">
        <v>120</v>
      </c>
      <c r="O254" s="59" t="s">
        <v>120</v>
      </c>
      <c r="P254" s="59" t="s">
        <v>120</v>
      </c>
      <c r="Q254" s="59" t="s">
        <v>120</v>
      </c>
      <c r="R254" s="59" t="s">
        <v>120</v>
      </c>
      <c r="S254" s="59" t="s">
        <v>120</v>
      </c>
      <c r="T254" s="59" t="s">
        <v>120</v>
      </c>
      <c r="U254" s="59" t="s">
        <v>120</v>
      </c>
      <c r="V254" s="59" t="s">
        <v>121</v>
      </c>
      <c r="W254" s="59" t="s">
        <v>120</v>
      </c>
      <c r="X254" s="59" t="s">
        <v>120</v>
      </c>
      <c r="Y254" s="59" t="s">
        <v>121</v>
      </c>
      <c r="Z254" s="59" t="s">
        <v>121</v>
      </c>
      <c r="AA254" s="59" t="s">
        <v>121</v>
      </c>
      <c r="AB254" s="59" t="s">
        <v>92</v>
      </c>
      <c r="AC254" s="59" t="s">
        <v>121</v>
      </c>
      <c r="AD254" s="59" t="s">
        <v>120</v>
      </c>
      <c r="AE254" s="59" t="s">
        <v>120</v>
      </c>
      <c r="AF254" s="59" t="s">
        <v>121</v>
      </c>
      <c r="AG254" s="59" t="s">
        <v>121</v>
      </c>
      <c r="AH254" s="59" t="s">
        <v>121</v>
      </c>
      <c r="AI254" s="59"/>
      <c r="AJ254" s="59"/>
      <c r="AK254" s="59"/>
      <c r="AL254" s="59"/>
      <c r="AM254" s="59"/>
      <c r="AN254" s="59"/>
      <c r="AO254" s="59"/>
      <c r="AP254" s="58"/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8"/>
      <c r="BB254" s="58"/>
      <c r="BC254" s="58"/>
      <c r="BD254" s="28"/>
      <c r="BE254" s="28"/>
      <c r="BF254" s="28"/>
      <c r="BG254" s="56">
        <f t="shared" si="5"/>
        <v>30</v>
      </c>
      <c r="BH254" s="42">
        <f t="shared" si="6"/>
        <v>17</v>
      </c>
      <c r="BI254" s="43">
        <f t="shared" si="7"/>
        <v>0.5666666667</v>
      </c>
      <c r="BJ254" s="44">
        <f t="shared" si="8"/>
        <v>12</v>
      </c>
      <c r="BK254" s="42">
        <f t="shared" si="9"/>
        <v>1</v>
      </c>
      <c r="BL254" s="28"/>
      <c r="BM254" s="28"/>
      <c r="BN254" s="28"/>
      <c r="BO254" s="28"/>
    </row>
    <row r="255">
      <c r="A255" s="14">
        <f t="shared" si="2"/>
        <v>252</v>
      </c>
      <c r="B255" s="85">
        <f t="shared" si="3"/>
        <v>46054</v>
      </c>
      <c r="C255" s="48">
        <v>46060.0</v>
      </c>
      <c r="D255" s="57">
        <f t="shared" si="4"/>
        <v>46060</v>
      </c>
      <c r="E255" s="59" t="s">
        <v>121</v>
      </c>
      <c r="F255" s="59" t="s">
        <v>121</v>
      </c>
      <c r="G255" s="59" t="s">
        <v>121</v>
      </c>
      <c r="H255" s="59" t="s">
        <v>121</v>
      </c>
      <c r="I255" s="59" t="s">
        <v>120</v>
      </c>
      <c r="J255" s="59" t="s">
        <v>120</v>
      </c>
      <c r="K255" s="59" t="s">
        <v>120</v>
      </c>
      <c r="L255" s="59" t="s">
        <v>120</v>
      </c>
      <c r="M255" s="59" t="s">
        <v>120</v>
      </c>
      <c r="N255" s="59" t="s">
        <v>120</v>
      </c>
      <c r="O255" s="59" t="s">
        <v>120</v>
      </c>
      <c r="P255" s="59" t="s">
        <v>120</v>
      </c>
      <c r="Q255" s="59" t="s">
        <v>120</v>
      </c>
      <c r="R255" s="59" t="s">
        <v>120</v>
      </c>
      <c r="S255" s="59" t="s">
        <v>120</v>
      </c>
      <c r="T255" s="59" t="s">
        <v>121</v>
      </c>
      <c r="U255" s="59" t="s">
        <v>120</v>
      </c>
      <c r="V255" s="59" t="s">
        <v>120</v>
      </c>
      <c r="W255" s="59" t="s">
        <v>120</v>
      </c>
      <c r="X255" s="59" t="s">
        <v>120</v>
      </c>
      <c r="Y255" s="59" t="s">
        <v>120</v>
      </c>
      <c r="Z255" s="59" t="s">
        <v>121</v>
      </c>
      <c r="AA255" s="59" t="s">
        <v>120</v>
      </c>
      <c r="AB255" s="59" t="s">
        <v>92</v>
      </c>
      <c r="AC255" s="59" t="s">
        <v>120</v>
      </c>
      <c r="AD255" s="59" t="s">
        <v>120</v>
      </c>
      <c r="AE255" s="59" t="s">
        <v>120</v>
      </c>
      <c r="AF255" s="59" t="s">
        <v>121</v>
      </c>
      <c r="AG255" s="59" t="s">
        <v>121</v>
      </c>
      <c r="AH255" s="59" t="s">
        <v>121</v>
      </c>
      <c r="AI255" s="59"/>
      <c r="AJ255" s="59"/>
      <c r="AK255" s="59"/>
      <c r="AL255" s="59"/>
      <c r="AM255" s="59"/>
      <c r="AN255" s="59"/>
      <c r="AO255" s="59"/>
      <c r="AP255" s="58"/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8"/>
      <c r="BB255" s="58"/>
      <c r="BC255" s="58"/>
      <c r="BD255" s="28"/>
      <c r="BE255" s="28"/>
      <c r="BF255" s="28"/>
      <c r="BG255" s="56">
        <f t="shared" si="5"/>
        <v>30</v>
      </c>
      <c r="BH255" s="42">
        <f t="shared" si="6"/>
        <v>20</v>
      </c>
      <c r="BI255" s="43">
        <f t="shared" si="7"/>
        <v>0.6666666667</v>
      </c>
      <c r="BJ255" s="44">
        <f t="shared" si="8"/>
        <v>9</v>
      </c>
      <c r="BK255" s="42">
        <f t="shared" si="9"/>
        <v>1</v>
      </c>
      <c r="BL255" s="28"/>
      <c r="BM255" s="28"/>
      <c r="BN255" s="28"/>
      <c r="BO255" s="28"/>
    </row>
    <row r="256">
      <c r="A256" s="14">
        <f t="shared" si="2"/>
        <v>253</v>
      </c>
      <c r="B256" s="85">
        <f t="shared" si="3"/>
        <v>46054</v>
      </c>
      <c r="C256" s="48">
        <v>46061.0</v>
      </c>
      <c r="D256" s="49">
        <f t="shared" si="4"/>
        <v>46061</v>
      </c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78"/>
      <c r="BE256" s="78"/>
      <c r="BF256" s="78"/>
      <c r="BG256" s="56">
        <f t="shared" si="5"/>
        <v>0</v>
      </c>
      <c r="BH256" s="42">
        <f t="shared" si="6"/>
        <v>0</v>
      </c>
      <c r="BI256" s="43" t="str">
        <f t="shared" si="7"/>
        <v>#DIV/0!</v>
      </c>
      <c r="BJ256" s="44">
        <f t="shared" si="8"/>
        <v>0</v>
      </c>
      <c r="BK256" s="42">
        <f t="shared" si="9"/>
        <v>0</v>
      </c>
      <c r="BL256" s="28"/>
      <c r="BM256" s="28"/>
      <c r="BN256" s="28"/>
      <c r="BO256" s="28"/>
    </row>
    <row r="257">
      <c r="A257" s="14">
        <f t="shared" si="2"/>
        <v>254</v>
      </c>
      <c r="B257" s="85">
        <f t="shared" si="3"/>
        <v>46054</v>
      </c>
      <c r="C257" s="48">
        <v>46062.0</v>
      </c>
      <c r="D257" s="57">
        <f t="shared" si="4"/>
        <v>46062</v>
      </c>
      <c r="E257" s="59" t="s">
        <v>121</v>
      </c>
      <c r="F257" s="59" t="s">
        <v>121</v>
      </c>
      <c r="G257" s="59" t="s">
        <v>121</v>
      </c>
      <c r="H257" s="59" t="s">
        <v>121</v>
      </c>
      <c r="I257" s="59" t="s">
        <v>120</v>
      </c>
      <c r="J257" s="59" t="s">
        <v>120</v>
      </c>
      <c r="K257" s="59" t="s">
        <v>120</v>
      </c>
      <c r="L257" s="59" t="s">
        <v>120</v>
      </c>
      <c r="M257" s="59" t="s">
        <v>120</v>
      </c>
      <c r="N257" s="59" t="s">
        <v>120</v>
      </c>
      <c r="O257" s="59" t="s">
        <v>120</v>
      </c>
      <c r="P257" s="59" t="s">
        <v>120</v>
      </c>
      <c r="Q257" s="59" t="s">
        <v>120</v>
      </c>
      <c r="R257" s="59" t="s">
        <v>120</v>
      </c>
      <c r="S257" s="59" t="s">
        <v>121</v>
      </c>
      <c r="T257" s="59" t="s">
        <v>121</v>
      </c>
      <c r="U257" s="59" t="s">
        <v>121</v>
      </c>
      <c r="V257" s="59" t="s">
        <v>121</v>
      </c>
      <c r="W257" s="59" t="s">
        <v>121</v>
      </c>
      <c r="X257" s="59" t="s">
        <v>120</v>
      </c>
      <c r="Y257" s="59" t="s">
        <v>120</v>
      </c>
      <c r="Z257" s="59" t="s">
        <v>121</v>
      </c>
      <c r="AA257" s="59" t="s">
        <v>121</v>
      </c>
      <c r="AB257" s="59" t="s">
        <v>92</v>
      </c>
      <c r="AC257" s="59" t="s">
        <v>120</v>
      </c>
      <c r="AD257" s="59" t="s">
        <v>120</v>
      </c>
      <c r="AE257" s="59" t="s">
        <v>120</v>
      </c>
      <c r="AF257" s="59" t="s">
        <v>120</v>
      </c>
      <c r="AG257" s="59" t="s">
        <v>120</v>
      </c>
      <c r="AH257" s="59" t="s">
        <v>120</v>
      </c>
      <c r="AI257" s="59"/>
      <c r="AJ257" s="59"/>
      <c r="AK257" s="59"/>
      <c r="AL257" s="59"/>
      <c r="AM257" s="59"/>
      <c r="AN257" s="59"/>
      <c r="AO257" s="59"/>
      <c r="AP257" s="58"/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  <c r="BC257" s="58"/>
      <c r="BD257" s="28"/>
      <c r="BE257" s="28"/>
      <c r="BF257" s="28"/>
      <c r="BG257" s="56">
        <f t="shared" si="5"/>
        <v>30</v>
      </c>
      <c r="BH257" s="42">
        <f t="shared" si="6"/>
        <v>18</v>
      </c>
      <c r="BI257" s="43">
        <f t="shared" si="7"/>
        <v>0.6</v>
      </c>
      <c r="BJ257" s="44">
        <f t="shared" si="8"/>
        <v>11</v>
      </c>
      <c r="BK257" s="42">
        <f t="shared" si="9"/>
        <v>1</v>
      </c>
      <c r="BL257" s="28"/>
      <c r="BM257" s="28"/>
      <c r="BN257" s="28"/>
      <c r="BO257" s="28"/>
    </row>
    <row r="258">
      <c r="A258" s="14">
        <f t="shared" si="2"/>
        <v>255</v>
      </c>
      <c r="B258" s="85">
        <f t="shared" si="3"/>
        <v>46054</v>
      </c>
      <c r="C258" s="48">
        <v>46063.0</v>
      </c>
      <c r="D258" s="57">
        <f t="shared" si="4"/>
        <v>46063</v>
      </c>
      <c r="E258" s="59" t="s">
        <v>121</v>
      </c>
      <c r="F258" s="59" t="s">
        <v>120</v>
      </c>
      <c r="G258" s="59" t="s">
        <v>120</v>
      </c>
      <c r="H258" s="59" t="s">
        <v>121</v>
      </c>
      <c r="I258" s="59" t="s">
        <v>120</v>
      </c>
      <c r="J258" s="59" t="s">
        <v>120</v>
      </c>
      <c r="K258" s="59" t="s">
        <v>120</v>
      </c>
      <c r="L258" s="59" t="s">
        <v>120</v>
      </c>
      <c r="M258" s="59" t="s">
        <v>120</v>
      </c>
      <c r="N258" s="59" t="s">
        <v>120</v>
      </c>
      <c r="O258" s="59" t="s">
        <v>120</v>
      </c>
      <c r="P258" s="59" t="s">
        <v>120</v>
      </c>
      <c r="Q258" s="59" t="s">
        <v>120</v>
      </c>
      <c r="R258" s="59" t="s">
        <v>120</v>
      </c>
      <c r="S258" s="59" t="s">
        <v>120</v>
      </c>
      <c r="T258" s="59" t="s">
        <v>120</v>
      </c>
      <c r="U258" s="59" t="s">
        <v>120</v>
      </c>
      <c r="V258" s="59" t="s">
        <v>120</v>
      </c>
      <c r="W258" s="59" t="s">
        <v>120</v>
      </c>
      <c r="X258" s="59" t="s">
        <v>120</v>
      </c>
      <c r="Y258" s="59" t="s">
        <v>120</v>
      </c>
      <c r="Z258" s="59" t="s">
        <v>121</v>
      </c>
      <c r="AA258" s="59" t="s">
        <v>120</v>
      </c>
      <c r="AB258" s="59" t="s">
        <v>92</v>
      </c>
      <c r="AC258" s="59" t="s">
        <v>120</v>
      </c>
      <c r="AD258" s="59" t="s">
        <v>120</v>
      </c>
      <c r="AE258" s="59" t="s">
        <v>120</v>
      </c>
      <c r="AF258" s="59" t="s">
        <v>120</v>
      </c>
      <c r="AG258" s="59" t="s">
        <v>120</v>
      </c>
      <c r="AH258" s="59" t="s">
        <v>120</v>
      </c>
      <c r="AI258" s="60"/>
      <c r="AJ258" s="60"/>
      <c r="AK258" s="60"/>
      <c r="AL258" s="60"/>
      <c r="AM258" s="60"/>
      <c r="AN258" s="60"/>
      <c r="AO258" s="60"/>
      <c r="AP258" s="58"/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8"/>
      <c r="BB258" s="58"/>
      <c r="BC258" s="58"/>
      <c r="BD258" s="28"/>
      <c r="BE258" s="28"/>
      <c r="BF258" s="28"/>
      <c r="BG258" s="56">
        <f t="shared" si="5"/>
        <v>30</v>
      </c>
      <c r="BH258" s="42">
        <f t="shared" si="6"/>
        <v>26</v>
      </c>
      <c r="BI258" s="43">
        <f t="shared" si="7"/>
        <v>0.8666666667</v>
      </c>
      <c r="BJ258" s="44">
        <f t="shared" si="8"/>
        <v>3</v>
      </c>
      <c r="BK258" s="42">
        <f t="shared" si="9"/>
        <v>1</v>
      </c>
      <c r="BL258" s="28"/>
      <c r="BM258" s="28"/>
      <c r="BN258" s="28"/>
      <c r="BO258" s="28"/>
    </row>
    <row r="259">
      <c r="A259" s="14">
        <f t="shared" si="2"/>
        <v>256</v>
      </c>
      <c r="B259" s="85">
        <f t="shared" si="3"/>
        <v>46054</v>
      </c>
      <c r="C259" s="48">
        <v>46064.0</v>
      </c>
      <c r="D259" s="57">
        <f t="shared" si="4"/>
        <v>46064</v>
      </c>
      <c r="E259" s="59" t="s">
        <v>120</v>
      </c>
      <c r="F259" s="59" t="s">
        <v>120</v>
      </c>
      <c r="G259" s="59" t="s">
        <v>120</v>
      </c>
      <c r="H259" s="59" t="s">
        <v>121</v>
      </c>
      <c r="I259" s="59" t="s">
        <v>120</v>
      </c>
      <c r="J259" s="59" t="s">
        <v>120</v>
      </c>
      <c r="K259" s="59" t="s">
        <v>120</v>
      </c>
      <c r="L259" s="59" t="s">
        <v>120</v>
      </c>
      <c r="M259" s="59" t="s">
        <v>120</v>
      </c>
      <c r="N259" s="59" t="s">
        <v>120</v>
      </c>
      <c r="O259" s="59" t="s">
        <v>120</v>
      </c>
      <c r="P259" s="59" t="s">
        <v>120</v>
      </c>
      <c r="Q259" s="59" t="s">
        <v>120</v>
      </c>
      <c r="R259" s="59" t="s">
        <v>120</v>
      </c>
      <c r="S259" s="59" t="s">
        <v>120</v>
      </c>
      <c r="T259" s="59" t="s">
        <v>121</v>
      </c>
      <c r="U259" s="59" t="s">
        <v>120</v>
      </c>
      <c r="V259" s="59" t="s">
        <v>120</v>
      </c>
      <c r="W259" s="59" t="s">
        <v>120</v>
      </c>
      <c r="X259" s="59" t="s">
        <v>120</v>
      </c>
      <c r="Y259" s="59" t="s">
        <v>121</v>
      </c>
      <c r="Z259" s="59" t="s">
        <v>120</v>
      </c>
      <c r="AA259" s="59" t="s">
        <v>120</v>
      </c>
      <c r="AB259" s="59" t="s">
        <v>92</v>
      </c>
      <c r="AC259" s="59" t="s">
        <v>120</v>
      </c>
      <c r="AD259" s="59" t="s">
        <v>120</v>
      </c>
      <c r="AE259" s="59" t="s">
        <v>120</v>
      </c>
      <c r="AF259" s="59" t="s">
        <v>120</v>
      </c>
      <c r="AG259" s="59" t="s">
        <v>120</v>
      </c>
      <c r="AH259" s="59" t="s">
        <v>120</v>
      </c>
      <c r="AI259" s="59"/>
      <c r="AJ259" s="59"/>
      <c r="AK259" s="59"/>
      <c r="AL259" s="59"/>
      <c r="AM259" s="59"/>
      <c r="AN259" s="59"/>
      <c r="AO259" s="59"/>
      <c r="AP259" s="58"/>
      <c r="AQ259" s="58"/>
      <c r="AR259" s="58"/>
      <c r="AS259" s="58"/>
      <c r="AT259" s="58"/>
      <c r="AU259" s="58"/>
      <c r="AV259" s="58"/>
      <c r="AW259" s="58"/>
      <c r="AX259" s="58"/>
      <c r="AY259" s="58"/>
      <c r="AZ259" s="58"/>
      <c r="BA259" s="58"/>
      <c r="BB259" s="58"/>
      <c r="BC259" s="58"/>
      <c r="BD259" s="28"/>
      <c r="BE259" s="28"/>
      <c r="BF259" s="28"/>
      <c r="BG259" s="56">
        <f t="shared" si="5"/>
        <v>30</v>
      </c>
      <c r="BH259" s="42">
        <f t="shared" si="6"/>
        <v>26</v>
      </c>
      <c r="BI259" s="43">
        <f t="shared" si="7"/>
        <v>0.8666666667</v>
      </c>
      <c r="BJ259" s="44">
        <f t="shared" si="8"/>
        <v>3</v>
      </c>
      <c r="BK259" s="42">
        <f t="shared" si="9"/>
        <v>1</v>
      </c>
      <c r="BL259" s="28"/>
      <c r="BM259" s="28"/>
      <c r="BN259" s="28"/>
      <c r="BO259" s="28"/>
    </row>
    <row r="260">
      <c r="A260" s="14">
        <f t="shared" si="2"/>
        <v>257</v>
      </c>
      <c r="B260" s="85">
        <f t="shared" si="3"/>
        <v>46054</v>
      </c>
      <c r="C260" s="48">
        <v>46065.0</v>
      </c>
      <c r="D260" s="57">
        <f t="shared" si="4"/>
        <v>46065</v>
      </c>
      <c r="E260" s="59" t="s">
        <v>121</v>
      </c>
      <c r="F260" s="59" t="s">
        <v>121</v>
      </c>
      <c r="G260" s="59" t="s">
        <v>121</v>
      </c>
      <c r="H260" s="59" t="s">
        <v>121</v>
      </c>
      <c r="I260" s="59" t="s">
        <v>120</v>
      </c>
      <c r="J260" s="59" t="s">
        <v>120</v>
      </c>
      <c r="K260" s="59" t="s">
        <v>120</v>
      </c>
      <c r="L260" s="59" t="s">
        <v>120</v>
      </c>
      <c r="M260" s="59" t="s">
        <v>121</v>
      </c>
      <c r="N260" s="59" t="s">
        <v>120</v>
      </c>
      <c r="O260" s="59" t="s">
        <v>120</v>
      </c>
      <c r="P260" s="59" t="s">
        <v>120</v>
      </c>
      <c r="Q260" s="59" t="s">
        <v>120</v>
      </c>
      <c r="R260" s="59" t="s">
        <v>120</v>
      </c>
      <c r="S260" s="59" t="s">
        <v>120</v>
      </c>
      <c r="T260" s="59" t="s">
        <v>120</v>
      </c>
      <c r="U260" s="59" t="s">
        <v>120</v>
      </c>
      <c r="V260" s="59" t="s">
        <v>120</v>
      </c>
      <c r="W260" s="59" t="s">
        <v>120</v>
      </c>
      <c r="X260" s="59" t="s">
        <v>120</v>
      </c>
      <c r="Y260" s="59" t="s">
        <v>121</v>
      </c>
      <c r="Z260" s="59" t="s">
        <v>120</v>
      </c>
      <c r="AA260" s="59" t="s">
        <v>120</v>
      </c>
      <c r="AB260" s="59" t="s">
        <v>92</v>
      </c>
      <c r="AC260" s="59" t="s">
        <v>120</v>
      </c>
      <c r="AD260" s="59" t="s">
        <v>120</v>
      </c>
      <c r="AE260" s="59" t="s">
        <v>120</v>
      </c>
      <c r="AF260" s="59" t="s">
        <v>120</v>
      </c>
      <c r="AG260" s="59" t="s">
        <v>120</v>
      </c>
      <c r="AH260" s="59" t="s">
        <v>120</v>
      </c>
      <c r="AI260" s="59"/>
      <c r="AJ260" s="59"/>
      <c r="AK260" s="59"/>
      <c r="AL260" s="59"/>
      <c r="AM260" s="59"/>
      <c r="AN260" s="59"/>
      <c r="AO260" s="59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28"/>
      <c r="BE260" s="28"/>
      <c r="BF260" s="28"/>
      <c r="BG260" s="56">
        <f t="shared" si="5"/>
        <v>30</v>
      </c>
      <c r="BH260" s="42">
        <f t="shared" si="6"/>
        <v>23</v>
      </c>
      <c r="BI260" s="43">
        <f t="shared" si="7"/>
        <v>0.7666666667</v>
      </c>
      <c r="BJ260" s="44">
        <f t="shared" si="8"/>
        <v>6</v>
      </c>
      <c r="BK260" s="42">
        <f t="shared" si="9"/>
        <v>1</v>
      </c>
      <c r="BL260" s="28"/>
      <c r="BM260" s="28"/>
      <c r="BN260" s="28"/>
      <c r="BO260" s="28"/>
    </row>
    <row r="261">
      <c r="A261" s="14">
        <f t="shared" si="2"/>
        <v>258</v>
      </c>
      <c r="B261" s="85">
        <f t="shared" si="3"/>
        <v>46054</v>
      </c>
      <c r="C261" s="48">
        <v>46066.0</v>
      </c>
      <c r="D261" s="57">
        <f t="shared" si="4"/>
        <v>46066</v>
      </c>
      <c r="E261" s="59" t="s">
        <v>121</v>
      </c>
      <c r="F261" s="59" t="s">
        <v>120</v>
      </c>
      <c r="G261" s="59" t="s">
        <v>120</v>
      </c>
      <c r="H261" s="59" t="s">
        <v>120</v>
      </c>
      <c r="I261" s="59" t="s">
        <v>120</v>
      </c>
      <c r="J261" s="59" t="s">
        <v>120</v>
      </c>
      <c r="K261" s="59" t="s">
        <v>120</v>
      </c>
      <c r="L261" s="59" t="s">
        <v>120</v>
      </c>
      <c r="M261" s="59" t="s">
        <v>120</v>
      </c>
      <c r="N261" s="59" t="s">
        <v>120</v>
      </c>
      <c r="O261" s="59" t="s">
        <v>120</v>
      </c>
      <c r="P261" s="59" t="s">
        <v>120</v>
      </c>
      <c r="Q261" s="59" t="s">
        <v>120</v>
      </c>
      <c r="R261" s="59" t="s">
        <v>120</v>
      </c>
      <c r="S261" s="59" t="s">
        <v>120</v>
      </c>
      <c r="T261" s="59" t="s">
        <v>120</v>
      </c>
      <c r="U261" s="59" t="s">
        <v>120</v>
      </c>
      <c r="V261" s="59" t="s">
        <v>120</v>
      </c>
      <c r="W261" s="59" t="s">
        <v>120</v>
      </c>
      <c r="X261" s="59" t="s">
        <v>120</v>
      </c>
      <c r="Y261" s="59" t="s">
        <v>120</v>
      </c>
      <c r="Z261" s="59" t="s">
        <v>121</v>
      </c>
      <c r="AA261" s="59" t="s">
        <v>120</v>
      </c>
      <c r="AB261" s="59" t="s">
        <v>92</v>
      </c>
      <c r="AC261" s="59" t="s">
        <v>120</v>
      </c>
      <c r="AD261" s="59" t="s">
        <v>121</v>
      </c>
      <c r="AE261" s="59" t="s">
        <v>120</v>
      </c>
      <c r="AF261" s="59" t="s">
        <v>120</v>
      </c>
      <c r="AG261" s="59" t="s">
        <v>120</v>
      </c>
      <c r="AH261" s="59" t="s">
        <v>120</v>
      </c>
      <c r="AI261" s="59"/>
      <c r="AJ261" s="59"/>
      <c r="AK261" s="59"/>
      <c r="AL261" s="59"/>
      <c r="AM261" s="59"/>
      <c r="AN261" s="59"/>
      <c r="AO261" s="59"/>
      <c r="AP261" s="58"/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8"/>
      <c r="BB261" s="58"/>
      <c r="BC261" s="58"/>
      <c r="BD261" s="28"/>
      <c r="BE261" s="28"/>
      <c r="BF261" s="28"/>
      <c r="BG261" s="56">
        <f t="shared" si="5"/>
        <v>30</v>
      </c>
      <c r="BH261" s="42">
        <f t="shared" si="6"/>
        <v>26</v>
      </c>
      <c r="BI261" s="43">
        <f t="shared" si="7"/>
        <v>0.8666666667</v>
      </c>
      <c r="BJ261" s="44">
        <f t="shared" si="8"/>
        <v>3</v>
      </c>
      <c r="BK261" s="42">
        <f t="shared" si="9"/>
        <v>1</v>
      </c>
      <c r="BL261" s="28"/>
      <c r="BM261" s="28"/>
      <c r="BN261" s="28"/>
      <c r="BO261" s="28"/>
    </row>
    <row r="262">
      <c r="A262" s="14">
        <f t="shared" si="2"/>
        <v>259</v>
      </c>
      <c r="B262" s="85">
        <f t="shared" si="3"/>
        <v>46054</v>
      </c>
      <c r="C262" s="48">
        <v>46067.0</v>
      </c>
      <c r="D262" s="57">
        <f t="shared" si="4"/>
        <v>46067</v>
      </c>
      <c r="E262" s="59" t="s">
        <v>120</v>
      </c>
      <c r="F262" s="59" t="s">
        <v>121</v>
      </c>
      <c r="G262" s="59" t="s">
        <v>121</v>
      </c>
      <c r="H262" s="59" t="s">
        <v>121</v>
      </c>
      <c r="I262" s="59" t="s">
        <v>120</v>
      </c>
      <c r="J262" s="59" t="s">
        <v>120</v>
      </c>
      <c r="K262" s="59" t="s">
        <v>120</v>
      </c>
      <c r="L262" s="59" t="s">
        <v>120</v>
      </c>
      <c r="M262" s="59" t="s">
        <v>120</v>
      </c>
      <c r="N262" s="59" t="s">
        <v>120</v>
      </c>
      <c r="O262" s="59" t="s">
        <v>120</v>
      </c>
      <c r="P262" s="59" t="s">
        <v>120</v>
      </c>
      <c r="Q262" s="59" t="s">
        <v>120</v>
      </c>
      <c r="R262" s="59" t="s">
        <v>120</v>
      </c>
      <c r="S262" s="59" t="s">
        <v>120</v>
      </c>
      <c r="T262" s="59" t="s">
        <v>121</v>
      </c>
      <c r="U262" s="59" t="s">
        <v>120</v>
      </c>
      <c r="V262" s="59" t="s">
        <v>121</v>
      </c>
      <c r="W262" s="59" t="s">
        <v>120</v>
      </c>
      <c r="X262" s="59" t="s">
        <v>120</v>
      </c>
      <c r="Y262" s="59" t="s">
        <v>121</v>
      </c>
      <c r="Z262" s="59" t="s">
        <v>121</v>
      </c>
      <c r="AA262" s="59" t="s">
        <v>121</v>
      </c>
      <c r="AB262" s="59" t="s">
        <v>92</v>
      </c>
      <c r="AC262" s="59" t="s">
        <v>120</v>
      </c>
      <c r="AD262" s="59" t="s">
        <v>120</v>
      </c>
      <c r="AE262" s="59" t="s">
        <v>120</v>
      </c>
      <c r="AF262" s="59" t="s">
        <v>121</v>
      </c>
      <c r="AG262" s="59" t="s">
        <v>121</v>
      </c>
      <c r="AH262" s="59" t="s">
        <v>121</v>
      </c>
      <c r="AI262" s="59"/>
      <c r="AJ262" s="59"/>
      <c r="AK262" s="59"/>
      <c r="AL262" s="59"/>
      <c r="AM262" s="59"/>
      <c r="AN262" s="59"/>
      <c r="AO262" s="59"/>
      <c r="AP262" s="58"/>
      <c r="AQ262" s="58"/>
      <c r="AR262" s="58"/>
      <c r="AS262" s="58"/>
      <c r="AT262" s="58"/>
      <c r="AU262" s="58"/>
      <c r="AV262" s="58"/>
      <c r="AW262" s="58"/>
      <c r="AX262" s="58"/>
      <c r="AY262" s="58"/>
      <c r="AZ262" s="58"/>
      <c r="BA262" s="58"/>
      <c r="BB262" s="58"/>
      <c r="BC262" s="58"/>
      <c r="BD262" s="28"/>
      <c r="BE262" s="28"/>
      <c r="BF262" s="28"/>
      <c r="BG262" s="56">
        <f t="shared" si="5"/>
        <v>30</v>
      </c>
      <c r="BH262" s="42">
        <f t="shared" si="6"/>
        <v>18</v>
      </c>
      <c r="BI262" s="43">
        <f t="shared" si="7"/>
        <v>0.6</v>
      </c>
      <c r="BJ262" s="44">
        <f t="shared" si="8"/>
        <v>11</v>
      </c>
      <c r="BK262" s="42">
        <f t="shared" si="9"/>
        <v>1</v>
      </c>
      <c r="BL262" s="28"/>
      <c r="BM262" s="28"/>
      <c r="BN262" s="28"/>
      <c r="BO262" s="28"/>
    </row>
    <row r="263">
      <c r="A263" s="14">
        <f t="shared" si="2"/>
        <v>260</v>
      </c>
      <c r="B263" s="85">
        <f t="shared" si="3"/>
        <v>46054</v>
      </c>
      <c r="C263" s="48">
        <v>46068.0</v>
      </c>
      <c r="D263" s="49">
        <f t="shared" si="4"/>
        <v>46068</v>
      </c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  <c r="AP263" s="50"/>
      <c r="AQ263" s="50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78"/>
      <c r="BE263" s="78"/>
      <c r="BF263" s="78"/>
      <c r="BG263" s="56">
        <f t="shared" si="5"/>
        <v>0</v>
      </c>
      <c r="BH263" s="42">
        <f t="shared" si="6"/>
        <v>0</v>
      </c>
      <c r="BI263" s="43" t="str">
        <f t="shared" si="7"/>
        <v>#DIV/0!</v>
      </c>
      <c r="BJ263" s="44">
        <f t="shared" si="8"/>
        <v>0</v>
      </c>
      <c r="BK263" s="42">
        <f t="shared" si="9"/>
        <v>0</v>
      </c>
      <c r="BL263" s="28"/>
      <c r="BM263" s="28"/>
      <c r="BN263" s="28"/>
      <c r="BO263" s="28"/>
    </row>
    <row r="264">
      <c r="A264" s="14">
        <f t="shared" si="2"/>
        <v>261</v>
      </c>
      <c r="B264" s="85">
        <f t="shared" si="3"/>
        <v>46054</v>
      </c>
      <c r="C264" s="48">
        <v>46069.0</v>
      </c>
      <c r="D264" s="57">
        <f t="shared" si="4"/>
        <v>46069</v>
      </c>
      <c r="E264" s="59" t="s">
        <v>121</v>
      </c>
      <c r="F264" s="59" t="s">
        <v>121</v>
      </c>
      <c r="G264" s="59" t="s">
        <v>121</v>
      </c>
      <c r="H264" s="59" t="s">
        <v>121</v>
      </c>
      <c r="I264" s="59" t="s">
        <v>120</v>
      </c>
      <c r="J264" s="59" t="s">
        <v>120</v>
      </c>
      <c r="K264" s="59" t="s">
        <v>120</v>
      </c>
      <c r="L264" s="59" t="s">
        <v>120</v>
      </c>
      <c r="M264" s="59" t="s">
        <v>120</v>
      </c>
      <c r="N264" s="59" t="s">
        <v>120</v>
      </c>
      <c r="O264" s="59" t="s">
        <v>120</v>
      </c>
      <c r="P264" s="59" t="s">
        <v>120</v>
      </c>
      <c r="Q264" s="59" t="s">
        <v>120</v>
      </c>
      <c r="R264" s="59" t="s">
        <v>120</v>
      </c>
      <c r="S264" s="59" t="s">
        <v>120</v>
      </c>
      <c r="T264" s="59" t="s">
        <v>121</v>
      </c>
      <c r="U264" s="59" t="s">
        <v>120</v>
      </c>
      <c r="V264" s="59" t="s">
        <v>121</v>
      </c>
      <c r="W264" s="59" t="s">
        <v>120</v>
      </c>
      <c r="X264" s="59" t="s">
        <v>120</v>
      </c>
      <c r="Y264" s="59" t="s">
        <v>121</v>
      </c>
      <c r="Z264" s="59" t="s">
        <v>120</v>
      </c>
      <c r="AA264" s="59" t="s">
        <v>121</v>
      </c>
      <c r="AB264" s="59" t="s">
        <v>92</v>
      </c>
      <c r="AC264" s="59" t="s">
        <v>120</v>
      </c>
      <c r="AD264" s="59" t="s">
        <v>120</v>
      </c>
      <c r="AE264" s="59" t="s">
        <v>120</v>
      </c>
      <c r="AF264" s="59" t="s">
        <v>120</v>
      </c>
      <c r="AG264" s="59" t="s">
        <v>120</v>
      </c>
      <c r="AH264" s="59" t="s">
        <v>120</v>
      </c>
      <c r="AI264" s="59"/>
      <c r="AJ264" s="59"/>
      <c r="AK264" s="59"/>
      <c r="AL264" s="59"/>
      <c r="AM264" s="59"/>
      <c r="AN264" s="59"/>
      <c r="AO264" s="59"/>
      <c r="AP264" s="58"/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8"/>
      <c r="BB264" s="58"/>
      <c r="BC264" s="58"/>
      <c r="BD264" s="28"/>
      <c r="BE264" s="28"/>
      <c r="BF264" s="28"/>
      <c r="BG264" s="56">
        <f t="shared" si="5"/>
        <v>30</v>
      </c>
      <c r="BH264" s="42">
        <f t="shared" si="6"/>
        <v>21</v>
      </c>
      <c r="BI264" s="43">
        <f t="shared" si="7"/>
        <v>0.7</v>
      </c>
      <c r="BJ264" s="44">
        <f t="shared" si="8"/>
        <v>8</v>
      </c>
      <c r="BK264" s="42">
        <f t="shared" si="9"/>
        <v>1</v>
      </c>
      <c r="BL264" s="28"/>
      <c r="BM264" s="28"/>
      <c r="BN264" s="28"/>
      <c r="BO264" s="28"/>
    </row>
    <row r="265">
      <c r="A265" s="14">
        <f t="shared" si="2"/>
        <v>262</v>
      </c>
      <c r="B265" s="85">
        <f t="shared" si="3"/>
        <v>46054</v>
      </c>
      <c r="C265" s="48">
        <v>46070.0</v>
      </c>
      <c r="D265" s="57">
        <f t="shared" si="4"/>
        <v>46070</v>
      </c>
      <c r="E265" s="59" t="s">
        <v>121</v>
      </c>
      <c r="F265" s="59" t="s">
        <v>120</v>
      </c>
      <c r="G265" s="59" t="s">
        <v>120</v>
      </c>
      <c r="H265" s="59" t="s">
        <v>120</v>
      </c>
      <c r="I265" s="59" t="s">
        <v>120</v>
      </c>
      <c r="J265" s="59" t="s">
        <v>120</v>
      </c>
      <c r="K265" s="59" t="s">
        <v>120</v>
      </c>
      <c r="L265" s="59" t="s">
        <v>120</v>
      </c>
      <c r="M265" s="59" t="s">
        <v>120</v>
      </c>
      <c r="N265" s="59" t="s">
        <v>120</v>
      </c>
      <c r="O265" s="59" t="s">
        <v>120</v>
      </c>
      <c r="P265" s="59" t="s">
        <v>120</v>
      </c>
      <c r="Q265" s="59" t="s">
        <v>120</v>
      </c>
      <c r="R265" s="59" t="s">
        <v>121</v>
      </c>
      <c r="S265" s="59" t="s">
        <v>121</v>
      </c>
      <c r="T265" s="59" t="s">
        <v>121</v>
      </c>
      <c r="U265" s="59" t="s">
        <v>121</v>
      </c>
      <c r="V265" s="59" t="s">
        <v>120</v>
      </c>
      <c r="W265" s="59" t="s">
        <v>120</v>
      </c>
      <c r="X265" s="59" t="s">
        <v>120</v>
      </c>
      <c r="Y265" s="59" t="s">
        <v>121</v>
      </c>
      <c r="Z265" s="59" t="s">
        <v>121</v>
      </c>
      <c r="AA265" s="59" t="s">
        <v>120</v>
      </c>
      <c r="AB265" s="59" t="s">
        <v>92</v>
      </c>
      <c r="AC265" s="59" t="s">
        <v>121</v>
      </c>
      <c r="AD265" s="59" t="s">
        <v>120</v>
      </c>
      <c r="AE265" s="59" t="s">
        <v>120</v>
      </c>
      <c r="AF265" s="59" t="s">
        <v>121</v>
      </c>
      <c r="AG265" s="59" t="s">
        <v>121</v>
      </c>
      <c r="AH265" s="59" t="s">
        <v>121</v>
      </c>
      <c r="AI265" s="59"/>
      <c r="AJ265" s="59"/>
      <c r="AK265" s="59"/>
      <c r="AL265" s="59"/>
      <c r="AM265" s="59"/>
      <c r="AN265" s="59"/>
      <c r="AO265" s="59"/>
      <c r="AP265" s="58"/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8"/>
      <c r="BB265" s="58"/>
      <c r="BC265" s="58"/>
      <c r="BD265" s="28"/>
      <c r="BE265" s="28"/>
      <c r="BF265" s="28"/>
      <c r="BG265" s="56">
        <f t="shared" si="5"/>
        <v>30</v>
      </c>
      <c r="BH265" s="42">
        <f t="shared" si="6"/>
        <v>18</v>
      </c>
      <c r="BI265" s="43">
        <f t="shared" si="7"/>
        <v>0.6</v>
      </c>
      <c r="BJ265" s="44">
        <f t="shared" si="8"/>
        <v>11</v>
      </c>
      <c r="BK265" s="42">
        <f t="shared" si="9"/>
        <v>1</v>
      </c>
      <c r="BL265" s="28"/>
      <c r="BM265" s="28"/>
      <c r="BN265" s="28"/>
      <c r="BO265" s="28"/>
    </row>
    <row r="266">
      <c r="A266" s="14">
        <f t="shared" si="2"/>
        <v>263</v>
      </c>
      <c r="B266" s="85">
        <f t="shared" si="3"/>
        <v>46054</v>
      </c>
      <c r="C266" s="48">
        <v>46071.0</v>
      </c>
      <c r="D266" s="57">
        <f t="shared" si="4"/>
        <v>46071</v>
      </c>
      <c r="E266" s="59" t="s">
        <v>120</v>
      </c>
      <c r="F266" s="59" t="s">
        <v>120</v>
      </c>
      <c r="G266" s="59" t="s">
        <v>120</v>
      </c>
      <c r="H266" s="59" t="s">
        <v>121</v>
      </c>
      <c r="I266" s="59" t="s">
        <v>121</v>
      </c>
      <c r="J266" s="59" t="s">
        <v>120</v>
      </c>
      <c r="K266" s="59" t="s">
        <v>120</v>
      </c>
      <c r="L266" s="59" t="s">
        <v>120</v>
      </c>
      <c r="M266" s="59" t="s">
        <v>121</v>
      </c>
      <c r="N266" s="59" t="s">
        <v>120</v>
      </c>
      <c r="O266" s="59" t="s">
        <v>120</v>
      </c>
      <c r="P266" s="59" t="s">
        <v>121</v>
      </c>
      <c r="Q266" s="59" t="s">
        <v>120</v>
      </c>
      <c r="R266" s="59" t="s">
        <v>120</v>
      </c>
      <c r="S266" s="59" t="s">
        <v>120</v>
      </c>
      <c r="T266" s="59" t="s">
        <v>121</v>
      </c>
      <c r="U266" s="59" t="s">
        <v>120</v>
      </c>
      <c r="V266" s="59" t="s">
        <v>121</v>
      </c>
      <c r="W266" s="59" t="s">
        <v>120</v>
      </c>
      <c r="X266" s="59" t="s">
        <v>120</v>
      </c>
      <c r="Y266" s="59" t="s">
        <v>121</v>
      </c>
      <c r="Z266" s="59" t="s">
        <v>120</v>
      </c>
      <c r="AA266" s="59" t="s">
        <v>121</v>
      </c>
      <c r="AB266" s="59" t="s">
        <v>92</v>
      </c>
      <c r="AC266" s="59" t="s">
        <v>120</v>
      </c>
      <c r="AD266" s="59" t="s">
        <v>120</v>
      </c>
      <c r="AE266" s="59" t="s">
        <v>120</v>
      </c>
      <c r="AF266" s="59" t="s">
        <v>120</v>
      </c>
      <c r="AG266" s="59" t="s">
        <v>120</v>
      </c>
      <c r="AH266" s="59" t="s">
        <v>120</v>
      </c>
      <c r="AI266" s="59"/>
      <c r="AJ266" s="59"/>
      <c r="AK266" s="59"/>
      <c r="AL266" s="59"/>
      <c r="AM266" s="59"/>
      <c r="AN266" s="59"/>
      <c r="AO266" s="59"/>
      <c r="AP266" s="58"/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8"/>
      <c r="BB266" s="58"/>
      <c r="BC266" s="58"/>
      <c r="BD266" s="28"/>
      <c r="BE266" s="28"/>
      <c r="BF266" s="28"/>
      <c r="BG266" s="56">
        <f t="shared" si="5"/>
        <v>30</v>
      </c>
      <c r="BH266" s="42">
        <f t="shared" si="6"/>
        <v>21</v>
      </c>
      <c r="BI266" s="43">
        <f t="shared" si="7"/>
        <v>0.7</v>
      </c>
      <c r="BJ266" s="44">
        <f t="shared" si="8"/>
        <v>8</v>
      </c>
      <c r="BK266" s="42">
        <f t="shared" si="9"/>
        <v>1</v>
      </c>
      <c r="BL266" s="28"/>
      <c r="BM266" s="28"/>
      <c r="BN266" s="28"/>
      <c r="BO266" s="28"/>
    </row>
    <row r="267">
      <c r="A267" s="14">
        <f t="shared" si="2"/>
        <v>264</v>
      </c>
      <c r="B267" s="85">
        <f t="shared" si="3"/>
        <v>46054</v>
      </c>
      <c r="C267" s="48">
        <v>46072.0</v>
      </c>
      <c r="D267" s="57">
        <f t="shared" si="4"/>
        <v>46072</v>
      </c>
      <c r="E267" s="59" t="s">
        <v>120</v>
      </c>
      <c r="F267" s="59" t="s">
        <v>120</v>
      </c>
      <c r="G267" s="59" t="s">
        <v>120</v>
      </c>
      <c r="H267" s="59" t="s">
        <v>121</v>
      </c>
      <c r="I267" s="59" t="s">
        <v>121</v>
      </c>
      <c r="J267" s="59" t="s">
        <v>121</v>
      </c>
      <c r="K267" s="59" t="s">
        <v>120</v>
      </c>
      <c r="L267" s="59" t="s">
        <v>121</v>
      </c>
      <c r="M267" s="59" t="s">
        <v>120</v>
      </c>
      <c r="N267" s="59" t="s">
        <v>121</v>
      </c>
      <c r="O267" s="59" t="s">
        <v>121</v>
      </c>
      <c r="P267" s="59" t="s">
        <v>120</v>
      </c>
      <c r="Q267" s="59" t="s">
        <v>120</v>
      </c>
      <c r="R267" s="59" t="s">
        <v>120</v>
      </c>
      <c r="S267" s="59" t="s">
        <v>120</v>
      </c>
      <c r="T267" s="59" t="s">
        <v>121</v>
      </c>
      <c r="U267" s="59" t="s">
        <v>120</v>
      </c>
      <c r="V267" s="59" t="s">
        <v>120</v>
      </c>
      <c r="W267" s="59" t="s">
        <v>120</v>
      </c>
      <c r="X267" s="59" t="s">
        <v>120</v>
      </c>
      <c r="Y267" s="59" t="s">
        <v>121</v>
      </c>
      <c r="Z267" s="59" t="s">
        <v>120</v>
      </c>
      <c r="AA267" s="59" t="s">
        <v>120</v>
      </c>
      <c r="AB267" s="59" t="s">
        <v>92</v>
      </c>
      <c r="AC267" s="59" t="s">
        <v>121</v>
      </c>
      <c r="AD267" s="59" t="s">
        <v>120</v>
      </c>
      <c r="AE267" s="59" t="s">
        <v>120</v>
      </c>
      <c r="AF267" s="59" t="s">
        <v>121</v>
      </c>
      <c r="AG267" s="59" t="s">
        <v>121</v>
      </c>
      <c r="AH267" s="59" t="s">
        <v>121</v>
      </c>
      <c r="AI267" s="60"/>
      <c r="AJ267" s="60"/>
      <c r="AK267" s="60"/>
      <c r="AL267" s="60"/>
      <c r="AM267" s="60"/>
      <c r="AN267" s="60"/>
      <c r="AO267" s="60"/>
      <c r="AP267" s="58"/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8"/>
      <c r="BB267" s="58"/>
      <c r="BC267" s="58"/>
      <c r="BD267" s="28"/>
      <c r="BE267" s="28"/>
      <c r="BF267" s="28"/>
      <c r="BG267" s="56">
        <f t="shared" si="5"/>
        <v>30</v>
      </c>
      <c r="BH267" s="42">
        <f t="shared" si="6"/>
        <v>17</v>
      </c>
      <c r="BI267" s="43">
        <f t="shared" si="7"/>
        <v>0.5666666667</v>
      </c>
      <c r="BJ267" s="44">
        <f t="shared" si="8"/>
        <v>12</v>
      </c>
      <c r="BK267" s="42">
        <f t="shared" si="9"/>
        <v>1</v>
      </c>
      <c r="BL267" s="28"/>
      <c r="BM267" s="28"/>
      <c r="BN267" s="28"/>
      <c r="BO267" s="28"/>
    </row>
    <row r="268">
      <c r="A268" s="14">
        <f t="shared" si="2"/>
        <v>265</v>
      </c>
      <c r="B268" s="85">
        <f t="shared" si="3"/>
        <v>46054</v>
      </c>
      <c r="C268" s="48">
        <v>46073.0</v>
      </c>
      <c r="D268" s="57">
        <f t="shared" si="4"/>
        <v>46073</v>
      </c>
      <c r="E268" s="59" t="s">
        <v>121</v>
      </c>
      <c r="F268" s="59" t="s">
        <v>120</v>
      </c>
      <c r="G268" s="59" t="s">
        <v>120</v>
      </c>
      <c r="H268" s="59" t="s">
        <v>121</v>
      </c>
      <c r="I268" s="59" t="s">
        <v>121</v>
      </c>
      <c r="J268" s="59" t="s">
        <v>121</v>
      </c>
      <c r="K268" s="59" t="s">
        <v>120</v>
      </c>
      <c r="L268" s="59" t="s">
        <v>121</v>
      </c>
      <c r="M268" s="59" t="s">
        <v>120</v>
      </c>
      <c r="N268" s="59" t="s">
        <v>120</v>
      </c>
      <c r="O268" s="59" t="s">
        <v>120</v>
      </c>
      <c r="P268" s="59" t="s">
        <v>120</v>
      </c>
      <c r="Q268" s="59" t="s">
        <v>120</v>
      </c>
      <c r="R268" s="59" t="s">
        <v>120</v>
      </c>
      <c r="S268" s="59" t="s">
        <v>121</v>
      </c>
      <c r="T268" s="59" t="s">
        <v>121</v>
      </c>
      <c r="U268" s="59" t="s">
        <v>121</v>
      </c>
      <c r="V268" s="59" t="s">
        <v>121</v>
      </c>
      <c r="W268" s="59" t="s">
        <v>120</v>
      </c>
      <c r="X268" s="59" t="s">
        <v>120</v>
      </c>
      <c r="Y268" s="59" t="s">
        <v>121</v>
      </c>
      <c r="Z268" s="59" t="s">
        <v>121</v>
      </c>
      <c r="AA268" s="59" t="s">
        <v>121</v>
      </c>
      <c r="AB268" s="59" t="s">
        <v>92</v>
      </c>
      <c r="AC268" s="59" t="s">
        <v>121</v>
      </c>
      <c r="AD268" s="59" t="s">
        <v>120</v>
      </c>
      <c r="AE268" s="59" t="s">
        <v>120</v>
      </c>
      <c r="AF268" s="59" t="s">
        <v>121</v>
      </c>
      <c r="AG268" s="59" t="s">
        <v>121</v>
      </c>
      <c r="AH268" s="59" t="s">
        <v>121</v>
      </c>
      <c r="AI268" s="59"/>
      <c r="AJ268" s="59"/>
      <c r="AK268" s="59"/>
      <c r="AL268" s="59"/>
      <c r="AM268" s="59"/>
      <c r="AN268" s="59"/>
      <c r="AO268" s="59"/>
      <c r="AP268" s="58"/>
      <c r="AQ268" s="58"/>
      <c r="AR268" s="58"/>
      <c r="AS268" s="58"/>
      <c r="AT268" s="58"/>
      <c r="AU268" s="58"/>
      <c r="AV268" s="58"/>
      <c r="AW268" s="58"/>
      <c r="AX268" s="58"/>
      <c r="AY268" s="58"/>
      <c r="AZ268" s="58"/>
      <c r="BA268" s="58"/>
      <c r="BB268" s="58"/>
      <c r="BC268" s="58"/>
      <c r="BD268" s="28"/>
      <c r="BE268" s="28"/>
      <c r="BF268" s="28"/>
      <c r="BG268" s="56">
        <f t="shared" si="5"/>
        <v>30</v>
      </c>
      <c r="BH268" s="42">
        <f t="shared" si="6"/>
        <v>13</v>
      </c>
      <c r="BI268" s="43">
        <f t="shared" si="7"/>
        <v>0.4333333333</v>
      </c>
      <c r="BJ268" s="44">
        <f t="shared" si="8"/>
        <v>16</v>
      </c>
      <c r="BK268" s="42">
        <f t="shared" si="9"/>
        <v>1</v>
      </c>
      <c r="BL268" s="28"/>
      <c r="BM268" s="28"/>
      <c r="BN268" s="28"/>
      <c r="BO268" s="28"/>
    </row>
    <row r="269">
      <c r="A269" s="14">
        <f t="shared" si="2"/>
        <v>266</v>
      </c>
      <c r="B269" s="85">
        <f t="shared" si="3"/>
        <v>46054</v>
      </c>
      <c r="C269" s="48">
        <v>46074.0</v>
      </c>
      <c r="D269" s="57">
        <f t="shared" si="4"/>
        <v>46074</v>
      </c>
      <c r="E269" s="59" t="s">
        <v>120</v>
      </c>
      <c r="F269" s="59" t="s">
        <v>120</v>
      </c>
      <c r="G269" s="59" t="s">
        <v>120</v>
      </c>
      <c r="H269" s="59" t="s">
        <v>120</v>
      </c>
      <c r="I269" s="59" t="s">
        <v>121</v>
      </c>
      <c r="J269" s="59" t="s">
        <v>120</v>
      </c>
      <c r="K269" s="59" t="s">
        <v>120</v>
      </c>
      <c r="L269" s="59" t="s">
        <v>120</v>
      </c>
      <c r="M269" s="59" t="s">
        <v>120</v>
      </c>
      <c r="N269" s="59" t="s">
        <v>120</v>
      </c>
      <c r="O269" s="59" t="s">
        <v>120</v>
      </c>
      <c r="P269" s="59" t="s">
        <v>120</v>
      </c>
      <c r="Q269" s="59" t="s">
        <v>120</v>
      </c>
      <c r="R269" s="59" t="s">
        <v>120</v>
      </c>
      <c r="S269" s="59" t="s">
        <v>121</v>
      </c>
      <c r="T269" s="59" t="s">
        <v>121</v>
      </c>
      <c r="U269" s="59" t="s">
        <v>121</v>
      </c>
      <c r="V269" s="59" t="s">
        <v>121</v>
      </c>
      <c r="W269" s="59" t="s">
        <v>120</v>
      </c>
      <c r="X269" s="59" t="s">
        <v>121</v>
      </c>
      <c r="Y269" s="59" t="s">
        <v>121</v>
      </c>
      <c r="Z269" s="59" t="s">
        <v>121</v>
      </c>
      <c r="AA269" s="59" t="s">
        <v>121</v>
      </c>
      <c r="AB269" s="59" t="s">
        <v>92</v>
      </c>
      <c r="AC269" s="59" t="s">
        <v>120</v>
      </c>
      <c r="AD269" s="59" t="s">
        <v>120</v>
      </c>
      <c r="AE269" s="59" t="s">
        <v>120</v>
      </c>
      <c r="AF269" s="59" t="s">
        <v>121</v>
      </c>
      <c r="AG269" s="59" t="s">
        <v>121</v>
      </c>
      <c r="AH269" s="59" t="s">
        <v>121</v>
      </c>
      <c r="AI269" s="59"/>
      <c r="AJ269" s="59"/>
      <c r="AK269" s="59"/>
      <c r="AL269" s="59"/>
      <c r="AM269" s="59"/>
      <c r="AN269" s="59"/>
      <c r="AO269" s="59"/>
      <c r="AP269" s="58"/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8"/>
      <c r="BB269" s="58"/>
      <c r="BC269" s="58"/>
      <c r="BD269" s="28"/>
      <c r="BE269" s="28"/>
      <c r="BF269" s="28"/>
      <c r="BG269" s="56">
        <f t="shared" si="5"/>
        <v>30</v>
      </c>
      <c r="BH269" s="42">
        <f t="shared" si="6"/>
        <v>17</v>
      </c>
      <c r="BI269" s="43">
        <f t="shared" si="7"/>
        <v>0.5666666667</v>
      </c>
      <c r="BJ269" s="44">
        <f t="shared" si="8"/>
        <v>12</v>
      </c>
      <c r="BK269" s="42">
        <f t="shared" si="9"/>
        <v>1</v>
      </c>
      <c r="BL269" s="28"/>
      <c r="BM269" s="28"/>
      <c r="BN269" s="28"/>
      <c r="BO269" s="28"/>
    </row>
    <row r="270">
      <c r="A270" s="14">
        <f t="shared" si="2"/>
        <v>267</v>
      </c>
      <c r="B270" s="85">
        <f t="shared" si="3"/>
        <v>46054</v>
      </c>
      <c r="C270" s="48">
        <v>46075.0</v>
      </c>
      <c r="D270" s="49">
        <f t="shared" si="4"/>
        <v>46075</v>
      </c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0"/>
      <c r="BC270" s="50"/>
      <c r="BD270" s="78"/>
      <c r="BE270" s="78"/>
      <c r="BF270" s="78"/>
      <c r="BG270" s="56">
        <f t="shared" si="5"/>
        <v>0</v>
      </c>
      <c r="BH270" s="42">
        <f t="shared" si="6"/>
        <v>0</v>
      </c>
      <c r="BI270" s="43" t="str">
        <f t="shared" si="7"/>
        <v>#DIV/0!</v>
      </c>
      <c r="BJ270" s="44">
        <f t="shared" si="8"/>
        <v>0</v>
      </c>
      <c r="BK270" s="42">
        <f t="shared" si="9"/>
        <v>0</v>
      </c>
      <c r="BL270" s="28"/>
      <c r="BM270" s="28"/>
      <c r="BN270" s="28"/>
      <c r="BO270" s="28"/>
    </row>
    <row r="271">
      <c r="A271" s="14">
        <f t="shared" si="2"/>
        <v>268</v>
      </c>
      <c r="B271" s="85">
        <f t="shared" si="3"/>
        <v>46054</v>
      </c>
      <c r="C271" s="48">
        <v>46076.0</v>
      </c>
      <c r="D271" s="57">
        <f t="shared" si="4"/>
        <v>46076</v>
      </c>
      <c r="E271" s="59" t="s">
        <v>120</v>
      </c>
      <c r="F271" s="59" t="s">
        <v>120</v>
      </c>
      <c r="G271" s="59" t="s">
        <v>120</v>
      </c>
      <c r="H271" s="59" t="s">
        <v>121</v>
      </c>
      <c r="I271" s="59" t="s">
        <v>121</v>
      </c>
      <c r="J271" s="59" t="s">
        <v>120</v>
      </c>
      <c r="K271" s="59" t="s">
        <v>120</v>
      </c>
      <c r="L271" s="59" t="s">
        <v>121</v>
      </c>
      <c r="M271" s="59" t="s">
        <v>120</v>
      </c>
      <c r="N271" s="59" t="s">
        <v>120</v>
      </c>
      <c r="O271" s="59" t="s">
        <v>120</v>
      </c>
      <c r="P271" s="59" t="s">
        <v>120</v>
      </c>
      <c r="Q271" s="59" t="s">
        <v>120</v>
      </c>
      <c r="R271" s="59" t="s">
        <v>120</v>
      </c>
      <c r="S271" s="59" t="s">
        <v>121</v>
      </c>
      <c r="T271" s="59" t="s">
        <v>121</v>
      </c>
      <c r="U271" s="59" t="s">
        <v>121</v>
      </c>
      <c r="V271" s="59" t="s">
        <v>121</v>
      </c>
      <c r="W271" s="59" t="s">
        <v>120</v>
      </c>
      <c r="X271" s="59" t="s">
        <v>120</v>
      </c>
      <c r="Y271" s="59" t="s">
        <v>121</v>
      </c>
      <c r="Z271" s="59" t="s">
        <v>121</v>
      </c>
      <c r="AA271" s="59" t="s">
        <v>120</v>
      </c>
      <c r="AB271" s="59" t="s">
        <v>92</v>
      </c>
      <c r="AC271" s="59" t="s">
        <v>120</v>
      </c>
      <c r="AD271" s="59" t="s">
        <v>120</v>
      </c>
      <c r="AE271" s="59" t="s">
        <v>120</v>
      </c>
      <c r="AF271" s="59" t="s">
        <v>121</v>
      </c>
      <c r="AG271" s="59" t="s">
        <v>121</v>
      </c>
      <c r="AH271" s="59" t="s">
        <v>121</v>
      </c>
      <c r="AI271" s="59"/>
      <c r="AJ271" s="59"/>
      <c r="AK271" s="59"/>
      <c r="AL271" s="59"/>
      <c r="AM271" s="59"/>
      <c r="AN271" s="59"/>
      <c r="AO271" s="59"/>
      <c r="AP271" s="58"/>
      <c r="AQ271" s="58"/>
      <c r="AR271" s="58"/>
      <c r="AS271" s="58"/>
      <c r="AT271" s="58"/>
      <c r="AU271" s="58"/>
      <c r="AV271" s="58"/>
      <c r="AW271" s="58"/>
      <c r="AX271" s="58"/>
      <c r="AY271" s="58"/>
      <c r="AZ271" s="58"/>
      <c r="BA271" s="58"/>
      <c r="BB271" s="58"/>
      <c r="BC271" s="58"/>
      <c r="BD271" s="28"/>
      <c r="BE271" s="28"/>
      <c r="BF271" s="28"/>
      <c r="BG271" s="56">
        <f t="shared" si="5"/>
        <v>30</v>
      </c>
      <c r="BH271" s="42">
        <f t="shared" si="6"/>
        <v>17</v>
      </c>
      <c r="BI271" s="43">
        <f t="shared" si="7"/>
        <v>0.5666666667</v>
      </c>
      <c r="BJ271" s="44">
        <f t="shared" si="8"/>
        <v>12</v>
      </c>
      <c r="BK271" s="42">
        <f t="shared" si="9"/>
        <v>1</v>
      </c>
      <c r="BL271" s="28"/>
      <c r="BM271" s="28"/>
      <c r="BN271" s="28"/>
      <c r="BO271" s="28"/>
    </row>
    <row r="272">
      <c r="A272" s="14">
        <f t="shared" si="2"/>
        <v>269</v>
      </c>
      <c r="B272" s="85">
        <f t="shared" si="3"/>
        <v>46054</v>
      </c>
      <c r="C272" s="48">
        <v>46077.0</v>
      </c>
      <c r="D272" s="57">
        <f t="shared" si="4"/>
        <v>46077</v>
      </c>
      <c r="E272" s="59" t="s">
        <v>121</v>
      </c>
      <c r="F272" s="59" t="s">
        <v>120</v>
      </c>
      <c r="G272" s="59" t="s">
        <v>120</v>
      </c>
      <c r="H272" s="59" t="s">
        <v>121</v>
      </c>
      <c r="I272" s="59" t="s">
        <v>121</v>
      </c>
      <c r="J272" s="59" t="s">
        <v>121</v>
      </c>
      <c r="K272" s="59" t="s">
        <v>120</v>
      </c>
      <c r="L272" s="59" t="s">
        <v>120</v>
      </c>
      <c r="M272" s="59" t="s">
        <v>120</v>
      </c>
      <c r="N272" s="59" t="s">
        <v>120</v>
      </c>
      <c r="O272" s="59" t="s">
        <v>120</v>
      </c>
      <c r="P272" s="59" t="s">
        <v>120</v>
      </c>
      <c r="Q272" s="59" t="s">
        <v>120</v>
      </c>
      <c r="R272" s="59" t="s">
        <v>120</v>
      </c>
      <c r="S272" s="59" t="s">
        <v>120</v>
      </c>
      <c r="T272" s="59" t="s">
        <v>120</v>
      </c>
      <c r="U272" s="59" t="s">
        <v>120</v>
      </c>
      <c r="V272" s="59" t="s">
        <v>121</v>
      </c>
      <c r="W272" s="59" t="s">
        <v>120</v>
      </c>
      <c r="X272" s="59" t="s">
        <v>120</v>
      </c>
      <c r="Y272" s="59" t="s">
        <v>120</v>
      </c>
      <c r="Z272" s="59" t="s">
        <v>120</v>
      </c>
      <c r="AA272" s="59" t="s">
        <v>121</v>
      </c>
      <c r="AB272" s="59" t="s">
        <v>92</v>
      </c>
      <c r="AC272" s="59" t="s">
        <v>120</v>
      </c>
      <c r="AD272" s="59" t="s">
        <v>120</v>
      </c>
      <c r="AE272" s="59" t="s">
        <v>120</v>
      </c>
      <c r="AF272" s="59" t="s">
        <v>121</v>
      </c>
      <c r="AG272" s="59" t="s">
        <v>121</v>
      </c>
      <c r="AH272" s="59" t="s">
        <v>121</v>
      </c>
      <c r="AI272" s="59"/>
      <c r="AJ272" s="59"/>
      <c r="AK272" s="59"/>
      <c r="AL272" s="59"/>
      <c r="AM272" s="59"/>
      <c r="AN272" s="59"/>
      <c r="AO272" s="59"/>
      <c r="AP272" s="58"/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8"/>
      <c r="BB272" s="58"/>
      <c r="BC272" s="58"/>
      <c r="BD272" s="28"/>
      <c r="BE272" s="28"/>
      <c r="BF272" s="28"/>
      <c r="BG272" s="56">
        <f t="shared" si="5"/>
        <v>30</v>
      </c>
      <c r="BH272" s="42">
        <f t="shared" si="6"/>
        <v>20</v>
      </c>
      <c r="BI272" s="43">
        <f t="shared" si="7"/>
        <v>0.6666666667</v>
      </c>
      <c r="BJ272" s="44">
        <f t="shared" si="8"/>
        <v>9</v>
      </c>
      <c r="BK272" s="42">
        <f t="shared" si="9"/>
        <v>1</v>
      </c>
      <c r="BL272" s="28"/>
      <c r="BM272" s="28"/>
      <c r="BN272" s="28"/>
      <c r="BO272" s="28"/>
    </row>
    <row r="273">
      <c r="A273" s="14">
        <f t="shared" si="2"/>
        <v>270</v>
      </c>
      <c r="B273" s="85">
        <f t="shared" si="3"/>
        <v>46054</v>
      </c>
      <c r="C273" s="48">
        <v>46078.0</v>
      </c>
      <c r="D273" s="57">
        <f t="shared" si="4"/>
        <v>46078</v>
      </c>
      <c r="E273" s="59" t="s">
        <v>121</v>
      </c>
      <c r="F273" s="59" t="s">
        <v>120</v>
      </c>
      <c r="G273" s="59" t="s">
        <v>121</v>
      </c>
      <c r="H273" s="59" t="s">
        <v>120</v>
      </c>
      <c r="I273" s="59" t="s">
        <v>121</v>
      </c>
      <c r="J273" s="59" t="s">
        <v>120</v>
      </c>
      <c r="K273" s="59" t="s">
        <v>120</v>
      </c>
      <c r="L273" s="59" t="s">
        <v>120</v>
      </c>
      <c r="M273" s="59" t="s">
        <v>120</v>
      </c>
      <c r="N273" s="59" t="s">
        <v>120</v>
      </c>
      <c r="O273" s="59" t="s">
        <v>120</v>
      </c>
      <c r="P273" s="59" t="s">
        <v>120</v>
      </c>
      <c r="Q273" s="59" t="s">
        <v>120</v>
      </c>
      <c r="R273" s="59" t="s">
        <v>120</v>
      </c>
      <c r="S273" s="59" t="s">
        <v>120</v>
      </c>
      <c r="T273" s="59" t="s">
        <v>120</v>
      </c>
      <c r="U273" s="59" t="s">
        <v>120</v>
      </c>
      <c r="V273" s="59" t="s">
        <v>121</v>
      </c>
      <c r="W273" s="59" t="s">
        <v>120</v>
      </c>
      <c r="X273" s="59" t="s">
        <v>120</v>
      </c>
      <c r="Y273" s="59" t="s">
        <v>120</v>
      </c>
      <c r="Z273" s="59" t="s">
        <v>120</v>
      </c>
      <c r="AA273" s="59" t="s">
        <v>121</v>
      </c>
      <c r="AB273" s="59" t="s">
        <v>92</v>
      </c>
      <c r="AC273" s="59" t="s">
        <v>120</v>
      </c>
      <c r="AD273" s="59" t="s">
        <v>121</v>
      </c>
      <c r="AE273" s="59" t="s">
        <v>120</v>
      </c>
      <c r="AF273" s="59" t="s">
        <v>120</v>
      </c>
      <c r="AG273" s="59" t="s">
        <v>120</v>
      </c>
      <c r="AH273" s="59" t="s">
        <v>120</v>
      </c>
      <c r="AI273" s="59"/>
      <c r="AJ273" s="59"/>
      <c r="AK273" s="59"/>
      <c r="AL273" s="59"/>
      <c r="AM273" s="59"/>
      <c r="AN273" s="59"/>
      <c r="AO273" s="59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28"/>
      <c r="BE273" s="28"/>
      <c r="BF273" s="28"/>
      <c r="BG273" s="56">
        <f t="shared" si="5"/>
        <v>30</v>
      </c>
      <c r="BH273" s="42">
        <f t="shared" si="6"/>
        <v>23</v>
      </c>
      <c r="BI273" s="43">
        <f t="shared" si="7"/>
        <v>0.7666666667</v>
      </c>
      <c r="BJ273" s="44">
        <f t="shared" si="8"/>
        <v>6</v>
      </c>
      <c r="BK273" s="42">
        <f t="shared" si="9"/>
        <v>1</v>
      </c>
      <c r="BL273" s="28"/>
      <c r="BM273" s="28"/>
      <c r="BN273" s="28"/>
      <c r="BO273" s="28"/>
    </row>
    <row r="274">
      <c r="A274" s="14">
        <f t="shared" si="2"/>
        <v>271</v>
      </c>
      <c r="B274" s="85">
        <f t="shared" si="3"/>
        <v>46054</v>
      </c>
      <c r="C274" s="48">
        <v>46079.0</v>
      </c>
      <c r="D274" s="57">
        <f t="shared" si="4"/>
        <v>46079</v>
      </c>
      <c r="E274" s="59" t="s">
        <v>122</v>
      </c>
      <c r="F274" s="59" t="s">
        <v>122</v>
      </c>
      <c r="G274" s="59" t="s">
        <v>122</v>
      </c>
      <c r="H274" s="59" t="s">
        <v>122</v>
      </c>
      <c r="I274" s="59" t="s">
        <v>122</v>
      </c>
      <c r="J274" s="59" t="s">
        <v>122</v>
      </c>
      <c r="K274" s="59" t="s">
        <v>122</v>
      </c>
      <c r="L274" s="59" t="s">
        <v>122</v>
      </c>
      <c r="M274" s="59" t="s">
        <v>122</v>
      </c>
      <c r="N274" s="59" t="s">
        <v>122</v>
      </c>
      <c r="O274" s="59" t="s">
        <v>122</v>
      </c>
      <c r="P274" s="59" t="s">
        <v>122</v>
      </c>
      <c r="Q274" s="59" t="s">
        <v>122</v>
      </c>
      <c r="R274" s="59" t="s">
        <v>122</v>
      </c>
      <c r="S274" s="59" t="s">
        <v>122</v>
      </c>
      <c r="T274" s="59" t="s">
        <v>122</v>
      </c>
      <c r="U274" s="59" t="s">
        <v>122</v>
      </c>
      <c r="V274" s="59" t="s">
        <v>122</v>
      </c>
      <c r="W274" s="59" t="s">
        <v>122</v>
      </c>
      <c r="X274" s="59" t="s">
        <v>122</v>
      </c>
      <c r="Y274" s="59" t="s">
        <v>122</v>
      </c>
      <c r="Z274" s="59" t="s">
        <v>122</v>
      </c>
      <c r="AA274" s="59" t="s">
        <v>122</v>
      </c>
      <c r="AB274" s="59" t="s">
        <v>122</v>
      </c>
      <c r="AC274" s="59" t="s">
        <v>122</v>
      </c>
      <c r="AD274" s="59" t="s">
        <v>122</v>
      </c>
      <c r="AE274" s="59" t="s">
        <v>122</v>
      </c>
      <c r="AF274" s="59" t="s">
        <v>122</v>
      </c>
      <c r="AG274" s="59" t="s">
        <v>122</v>
      </c>
      <c r="AH274" s="59" t="s">
        <v>122</v>
      </c>
      <c r="AI274" s="60"/>
      <c r="AJ274" s="60"/>
      <c r="AK274" s="60"/>
      <c r="AL274" s="60"/>
      <c r="AM274" s="60"/>
      <c r="AN274" s="60"/>
      <c r="AO274" s="60"/>
      <c r="AP274" s="58"/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8"/>
      <c r="BB274" s="58"/>
      <c r="BC274" s="58"/>
      <c r="BD274" s="28"/>
      <c r="BE274" s="28"/>
      <c r="BF274" s="28"/>
      <c r="BG274" s="56">
        <f t="shared" si="5"/>
        <v>0</v>
      </c>
      <c r="BH274" s="42">
        <f t="shared" si="6"/>
        <v>0</v>
      </c>
      <c r="BI274" s="43" t="str">
        <f t="shared" si="7"/>
        <v>#DIV/0!</v>
      </c>
      <c r="BJ274" s="44">
        <f t="shared" si="8"/>
        <v>0</v>
      </c>
      <c r="BK274" s="42">
        <f t="shared" si="9"/>
        <v>0</v>
      </c>
      <c r="BL274" s="28"/>
      <c r="BM274" s="28"/>
      <c r="BN274" s="28"/>
      <c r="BO274" s="28"/>
    </row>
    <row r="275">
      <c r="A275" s="14">
        <f t="shared" si="2"/>
        <v>272</v>
      </c>
      <c r="B275" s="85">
        <f t="shared" si="3"/>
        <v>46054</v>
      </c>
      <c r="C275" s="48">
        <v>46080.0</v>
      </c>
      <c r="D275" s="57">
        <f t="shared" si="4"/>
        <v>46080</v>
      </c>
      <c r="E275" s="59" t="s">
        <v>122</v>
      </c>
      <c r="F275" s="59" t="s">
        <v>122</v>
      </c>
      <c r="G275" s="59" t="s">
        <v>122</v>
      </c>
      <c r="H275" s="59" t="s">
        <v>122</v>
      </c>
      <c r="I275" s="59" t="s">
        <v>122</v>
      </c>
      <c r="J275" s="59" t="s">
        <v>122</v>
      </c>
      <c r="K275" s="59" t="s">
        <v>122</v>
      </c>
      <c r="L275" s="59" t="s">
        <v>122</v>
      </c>
      <c r="M275" s="59" t="s">
        <v>122</v>
      </c>
      <c r="N275" s="59" t="s">
        <v>122</v>
      </c>
      <c r="O275" s="59" t="s">
        <v>122</v>
      </c>
      <c r="P275" s="59" t="s">
        <v>122</v>
      </c>
      <c r="Q275" s="59" t="s">
        <v>122</v>
      </c>
      <c r="R275" s="59" t="s">
        <v>122</v>
      </c>
      <c r="S275" s="59" t="s">
        <v>122</v>
      </c>
      <c r="T275" s="59" t="s">
        <v>122</v>
      </c>
      <c r="U275" s="59" t="s">
        <v>122</v>
      </c>
      <c r="V275" s="59" t="s">
        <v>122</v>
      </c>
      <c r="W275" s="59" t="s">
        <v>122</v>
      </c>
      <c r="X275" s="59" t="s">
        <v>122</v>
      </c>
      <c r="Y275" s="59" t="s">
        <v>122</v>
      </c>
      <c r="Z275" s="59" t="s">
        <v>122</v>
      </c>
      <c r="AA275" s="59" t="s">
        <v>122</v>
      </c>
      <c r="AB275" s="59" t="s">
        <v>122</v>
      </c>
      <c r="AC275" s="59" t="s">
        <v>122</v>
      </c>
      <c r="AD275" s="59" t="s">
        <v>122</v>
      </c>
      <c r="AE275" s="59" t="s">
        <v>122</v>
      </c>
      <c r="AF275" s="59" t="s">
        <v>122</v>
      </c>
      <c r="AG275" s="59" t="s">
        <v>122</v>
      </c>
      <c r="AH275" s="59" t="s">
        <v>122</v>
      </c>
      <c r="AI275" s="59"/>
      <c r="AJ275" s="59"/>
      <c r="AK275" s="59"/>
      <c r="AL275" s="59"/>
      <c r="AM275" s="59"/>
      <c r="AN275" s="59"/>
      <c r="AO275" s="59"/>
      <c r="AP275" s="58"/>
      <c r="AQ275" s="58"/>
      <c r="AR275" s="58"/>
      <c r="AS275" s="58"/>
      <c r="AT275" s="58"/>
      <c r="AU275" s="58"/>
      <c r="AV275" s="58"/>
      <c r="AW275" s="58"/>
      <c r="AX275" s="58"/>
      <c r="AY275" s="58"/>
      <c r="AZ275" s="58"/>
      <c r="BA275" s="58"/>
      <c r="BB275" s="58"/>
      <c r="BC275" s="58"/>
      <c r="BD275" s="28"/>
      <c r="BE275" s="28"/>
      <c r="BF275" s="28"/>
      <c r="BG275" s="56">
        <f t="shared" si="5"/>
        <v>0</v>
      </c>
      <c r="BH275" s="42">
        <f t="shared" si="6"/>
        <v>0</v>
      </c>
      <c r="BI275" s="43" t="str">
        <f t="shared" si="7"/>
        <v>#DIV/0!</v>
      </c>
      <c r="BJ275" s="44">
        <f t="shared" si="8"/>
        <v>0</v>
      </c>
      <c r="BK275" s="42">
        <f t="shared" si="9"/>
        <v>0</v>
      </c>
      <c r="BL275" s="28"/>
      <c r="BM275" s="28"/>
      <c r="BN275" s="28"/>
      <c r="BO275" s="28"/>
    </row>
    <row r="276">
      <c r="A276" s="14">
        <f t="shared" si="2"/>
        <v>273</v>
      </c>
      <c r="B276" s="85">
        <f t="shared" si="3"/>
        <v>46054</v>
      </c>
      <c r="C276" s="48">
        <v>46081.0</v>
      </c>
      <c r="D276" s="57">
        <f t="shared" si="4"/>
        <v>46081</v>
      </c>
      <c r="E276" s="59" t="s">
        <v>122</v>
      </c>
      <c r="F276" s="59" t="s">
        <v>122</v>
      </c>
      <c r="G276" s="59" t="s">
        <v>122</v>
      </c>
      <c r="H276" s="59" t="s">
        <v>122</v>
      </c>
      <c r="I276" s="59" t="s">
        <v>122</v>
      </c>
      <c r="J276" s="59" t="s">
        <v>122</v>
      </c>
      <c r="K276" s="59" t="s">
        <v>122</v>
      </c>
      <c r="L276" s="59" t="s">
        <v>122</v>
      </c>
      <c r="M276" s="59" t="s">
        <v>122</v>
      </c>
      <c r="N276" s="59" t="s">
        <v>122</v>
      </c>
      <c r="O276" s="59" t="s">
        <v>122</v>
      </c>
      <c r="P276" s="59" t="s">
        <v>122</v>
      </c>
      <c r="Q276" s="59" t="s">
        <v>122</v>
      </c>
      <c r="R276" s="59" t="s">
        <v>122</v>
      </c>
      <c r="S276" s="59" t="s">
        <v>122</v>
      </c>
      <c r="T276" s="59" t="s">
        <v>122</v>
      </c>
      <c r="U276" s="59" t="s">
        <v>122</v>
      </c>
      <c r="V276" s="59" t="s">
        <v>122</v>
      </c>
      <c r="W276" s="59" t="s">
        <v>122</v>
      </c>
      <c r="X276" s="59" t="s">
        <v>122</v>
      </c>
      <c r="Y276" s="59" t="s">
        <v>122</v>
      </c>
      <c r="Z276" s="59" t="s">
        <v>122</v>
      </c>
      <c r="AA276" s="59" t="s">
        <v>122</v>
      </c>
      <c r="AB276" s="59" t="s">
        <v>122</v>
      </c>
      <c r="AC276" s="59" t="s">
        <v>122</v>
      </c>
      <c r="AD276" s="59" t="s">
        <v>122</v>
      </c>
      <c r="AE276" s="59" t="s">
        <v>122</v>
      </c>
      <c r="AF276" s="59" t="s">
        <v>122</v>
      </c>
      <c r="AG276" s="59" t="s">
        <v>122</v>
      </c>
      <c r="AH276" s="59" t="s">
        <v>122</v>
      </c>
      <c r="AI276" s="59"/>
      <c r="AJ276" s="59"/>
      <c r="AK276" s="59"/>
      <c r="AL276" s="59"/>
      <c r="AM276" s="59"/>
      <c r="AN276" s="59"/>
      <c r="AO276" s="59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28"/>
      <c r="BE276" s="28"/>
      <c r="BF276" s="28"/>
      <c r="BG276" s="56">
        <f t="shared" si="5"/>
        <v>0</v>
      </c>
      <c r="BH276" s="42">
        <f t="shared" si="6"/>
        <v>0</v>
      </c>
      <c r="BI276" s="43" t="str">
        <f t="shared" si="7"/>
        <v>#DIV/0!</v>
      </c>
      <c r="BJ276" s="44">
        <f t="shared" si="8"/>
        <v>0</v>
      </c>
      <c r="BK276" s="42">
        <f t="shared" si="9"/>
        <v>0</v>
      </c>
      <c r="BL276" s="28"/>
      <c r="BM276" s="28"/>
      <c r="BN276" s="28"/>
      <c r="BO276" s="28"/>
    </row>
    <row r="277">
      <c r="A277" s="14">
        <f t="shared" si="2"/>
        <v>274</v>
      </c>
      <c r="B277" s="86">
        <f t="shared" si="3"/>
        <v>46082</v>
      </c>
      <c r="C277" s="48">
        <v>46082.0</v>
      </c>
      <c r="D277" s="49">
        <f t="shared" si="4"/>
        <v>46082</v>
      </c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0"/>
      <c r="AQ277" s="50"/>
      <c r="AR277" s="50"/>
      <c r="AS277" s="50"/>
      <c r="AT277" s="50"/>
      <c r="AU277" s="50"/>
      <c r="AV277" s="50"/>
      <c r="AW277" s="50"/>
      <c r="AX277" s="50"/>
      <c r="AY277" s="50"/>
      <c r="AZ277" s="50"/>
      <c r="BA277" s="50"/>
      <c r="BB277" s="50"/>
      <c r="BC277" s="50"/>
      <c r="BD277" s="78"/>
      <c r="BE277" s="78"/>
      <c r="BF277" s="78"/>
      <c r="BG277" s="56">
        <f t="shared" si="5"/>
        <v>0</v>
      </c>
      <c r="BH277" s="42">
        <f t="shared" si="6"/>
        <v>0</v>
      </c>
      <c r="BI277" s="43" t="str">
        <f t="shared" si="7"/>
        <v>#DIV/0!</v>
      </c>
      <c r="BJ277" s="44">
        <f t="shared" si="8"/>
        <v>0</v>
      </c>
      <c r="BK277" s="42">
        <f t="shared" si="9"/>
        <v>0</v>
      </c>
      <c r="BL277" s="28"/>
      <c r="BM277" s="28"/>
      <c r="BN277" s="28"/>
      <c r="BO277" s="28"/>
    </row>
    <row r="278">
      <c r="A278" s="14">
        <f t="shared" si="2"/>
        <v>275</v>
      </c>
      <c r="B278" s="86">
        <f t="shared" si="3"/>
        <v>46082</v>
      </c>
      <c r="C278" s="48">
        <v>46083.0</v>
      </c>
      <c r="D278" s="57">
        <f t="shared" si="4"/>
        <v>46083</v>
      </c>
      <c r="E278" s="59" t="s">
        <v>120</v>
      </c>
      <c r="F278" s="59" t="s">
        <v>120</v>
      </c>
      <c r="G278" s="59" t="s">
        <v>120</v>
      </c>
      <c r="H278" s="59" t="s">
        <v>121</v>
      </c>
      <c r="I278" s="59" t="s">
        <v>121</v>
      </c>
      <c r="J278" s="59" t="s">
        <v>120</v>
      </c>
      <c r="K278" s="59" t="s">
        <v>120</v>
      </c>
      <c r="L278" s="59" t="s">
        <v>121</v>
      </c>
      <c r="M278" s="59" t="s">
        <v>120</v>
      </c>
      <c r="N278" s="59" t="s">
        <v>120</v>
      </c>
      <c r="O278" s="59" t="s">
        <v>120</v>
      </c>
      <c r="P278" s="59" t="s">
        <v>121</v>
      </c>
      <c r="Q278" s="59" t="s">
        <v>120</v>
      </c>
      <c r="R278" s="59" t="s">
        <v>120</v>
      </c>
      <c r="S278" s="59" t="s">
        <v>121</v>
      </c>
      <c r="T278" s="59" t="s">
        <v>120</v>
      </c>
      <c r="U278" s="59" t="s">
        <v>120</v>
      </c>
      <c r="V278" s="59" t="s">
        <v>121</v>
      </c>
      <c r="W278" s="59" t="s">
        <v>120</v>
      </c>
      <c r="X278" s="59" t="s">
        <v>120</v>
      </c>
      <c r="Y278" s="59" t="s">
        <v>121</v>
      </c>
      <c r="Z278" s="59" t="s">
        <v>120</v>
      </c>
      <c r="AA278" s="59" t="s">
        <v>121</v>
      </c>
      <c r="AB278" s="59" t="s">
        <v>92</v>
      </c>
      <c r="AC278" s="59" t="s">
        <v>120</v>
      </c>
      <c r="AD278" s="59" t="s">
        <v>121</v>
      </c>
      <c r="AE278" s="59" t="s">
        <v>120</v>
      </c>
      <c r="AF278" s="59" t="s">
        <v>121</v>
      </c>
      <c r="AG278" s="59" t="s">
        <v>121</v>
      </c>
      <c r="AH278" s="59" t="s">
        <v>121</v>
      </c>
      <c r="AI278" s="59"/>
      <c r="AJ278" s="59"/>
      <c r="AK278" s="59"/>
      <c r="AL278" s="59"/>
      <c r="AM278" s="59"/>
      <c r="AN278" s="59"/>
      <c r="AO278" s="59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28"/>
      <c r="BE278" s="28"/>
      <c r="BF278" s="28"/>
      <c r="BG278" s="56">
        <f t="shared" si="5"/>
        <v>30</v>
      </c>
      <c r="BH278" s="42">
        <f t="shared" si="6"/>
        <v>17</v>
      </c>
      <c r="BI278" s="43">
        <f t="shared" si="7"/>
        <v>0.5666666667</v>
      </c>
      <c r="BJ278" s="44">
        <f t="shared" si="8"/>
        <v>12</v>
      </c>
      <c r="BK278" s="42">
        <f t="shared" si="9"/>
        <v>1</v>
      </c>
      <c r="BL278" s="28"/>
      <c r="BM278" s="28"/>
      <c r="BN278" s="28"/>
      <c r="BO278" s="28"/>
    </row>
    <row r="279">
      <c r="A279" s="14">
        <f t="shared" si="2"/>
        <v>276</v>
      </c>
      <c r="B279" s="86">
        <f t="shared" si="3"/>
        <v>46082</v>
      </c>
      <c r="C279" s="48">
        <v>46084.0</v>
      </c>
      <c r="D279" s="57">
        <f t="shared" si="4"/>
        <v>46084</v>
      </c>
      <c r="E279" s="59" t="s">
        <v>122</v>
      </c>
      <c r="F279" s="59" t="s">
        <v>122</v>
      </c>
      <c r="G279" s="59" t="s">
        <v>122</v>
      </c>
      <c r="H279" s="59" t="s">
        <v>122</v>
      </c>
      <c r="I279" s="59" t="s">
        <v>122</v>
      </c>
      <c r="J279" s="59" t="s">
        <v>122</v>
      </c>
      <c r="K279" s="59" t="s">
        <v>122</v>
      </c>
      <c r="L279" s="59" t="s">
        <v>122</v>
      </c>
      <c r="M279" s="59" t="s">
        <v>122</v>
      </c>
      <c r="N279" s="59" t="s">
        <v>122</v>
      </c>
      <c r="O279" s="59" t="s">
        <v>122</v>
      </c>
      <c r="P279" s="59" t="s">
        <v>122</v>
      </c>
      <c r="Q279" s="59" t="s">
        <v>122</v>
      </c>
      <c r="R279" s="59" t="s">
        <v>122</v>
      </c>
      <c r="S279" s="59" t="s">
        <v>122</v>
      </c>
      <c r="T279" s="59" t="s">
        <v>122</v>
      </c>
      <c r="U279" s="59" t="s">
        <v>122</v>
      </c>
      <c r="V279" s="59" t="s">
        <v>122</v>
      </c>
      <c r="W279" s="59" t="s">
        <v>122</v>
      </c>
      <c r="X279" s="59" t="s">
        <v>122</v>
      </c>
      <c r="Y279" s="59" t="s">
        <v>122</v>
      </c>
      <c r="Z279" s="59" t="s">
        <v>122</v>
      </c>
      <c r="AA279" s="59" t="s">
        <v>122</v>
      </c>
      <c r="AB279" s="59" t="s">
        <v>122</v>
      </c>
      <c r="AC279" s="59" t="s">
        <v>122</v>
      </c>
      <c r="AD279" s="59" t="s">
        <v>122</v>
      </c>
      <c r="AE279" s="59" t="s">
        <v>122</v>
      </c>
      <c r="AF279" s="59" t="s">
        <v>122</v>
      </c>
      <c r="AG279" s="59" t="s">
        <v>122</v>
      </c>
      <c r="AH279" s="59" t="s">
        <v>122</v>
      </c>
      <c r="AI279" s="59"/>
      <c r="AJ279" s="59"/>
      <c r="AK279" s="59"/>
      <c r="AL279" s="59"/>
      <c r="AM279" s="59"/>
      <c r="AN279" s="59"/>
      <c r="AO279" s="59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28"/>
      <c r="BE279" s="28"/>
      <c r="BF279" s="28"/>
      <c r="BG279" s="56">
        <f t="shared" si="5"/>
        <v>0</v>
      </c>
      <c r="BH279" s="42">
        <f t="shared" si="6"/>
        <v>0</v>
      </c>
      <c r="BI279" s="43" t="str">
        <f t="shared" si="7"/>
        <v>#DIV/0!</v>
      </c>
      <c r="BJ279" s="44">
        <f t="shared" si="8"/>
        <v>0</v>
      </c>
      <c r="BK279" s="42">
        <f t="shared" si="9"/>
        <v>0</v>
      </c>
      <c r="BL279" s="28"/>
      <c r="BM279" s="28"/>
      <c r="BN279" s="28"/>
      <c r="BO279" s="28"/>
    </row>
    <row r="280">
      <c r="A280" s="14">
        <f t="shared" si="2"/>
        <v>277</v>
      </c>
      <c r="B280" s="86">
        <f t="shared" si="3"/>
        <v>46082</v>
      </c>
      <c r="C280" s="48">
        <v>46085.0</v>
      </c>
      <c r="D280" s="57">
        <f t="shared" si="4"/>
        <v>46085</v>
      </c>
      <c r="E280" s="59" t="s">
        <v>121</v>
      </c>
      <c r="F280" s="59" t="s">
        <v>120</v>
      </c>
      <c r="G280" s="59" t="s">
        <v>120</v>
      </c>
      <c r="H280" s="59" t="s">
        <v>120</v>
      </c>
      <c r="I280" s="59" t="s">
        <v>121</v>
      </c>
      <c r="J280" s="59" t="s">
        <v>120</v>
      </c>
      <c r="K280" s="59" t="s">
        <v>120</v>
      </c>
      <c r="L280" s="59" t="s">
        <v>120</v>
      </c>
      <c r="M280" s="59" t="s">
        <v>120</v>
      </c>
      <c r="N280" s="59" t="s">
        <v>120</v>
      </c>
      <c r="O280" s="59" t="s">
        <v>120</v>
      </c>
      <c r="P280" s="59" t="s">
        <v>120</v>
      </c>
      <c r="Q280" s="59" t="s">
        <v>120</v>
      </c>
      <c r="R280" s="59" t="s">
        <v>121</v>
      </c>
      <c r="S280" s="59" t="s">
        <v>121</v>
      </c>
      <c r="T280" s="59" t="s">
        <v>120</v>
      </c>
      <c r="U280" s="59" t="s">
        <v>121</v>
      </c>
      <c r="V280" s="59" t="s">
        <v>121</v>
      </c>
      <c r="W280" s="59" t="s">
        <v>120</v>
      </c>
      <c r="X280" s="59" t="s">
        <v>120</v>
      </c>
      <c r="Y280" s="59" t="s">
        <v>120</v>
      </c>
      <c r="Z280" s="59" t="s">
        <v>121</v>
      </c>
      <c r="AA280" s="59" t="s">
        <v>120</v>
      </c>
      <c r="AB280" s="59" t="s">
        <v>92</v>
      </c>
      <c r="AC280" s="59" t="s">
        <v>120</v>
      </c>
      <c r="AD280" s="59" t="s">
        <v>120</v>
      </c>
      <c r="AE280" s="59" t="s">
        <v>121</v>
      </c>
      <c r="AF280" s="59" t="s">
        <v>121</v>
      </c>
      <c r="AG280" s="59" t="s">
        <v>121</v>
      </c>
      <c r="AH280" s="59" t="s">
        <v>121</v>
      </c>
      <c r="AI280" s="59"/>
      <c r="AJ280" s="59"/>
      <c r="AK280" s="59"/>
      <c r="AL280" s="59"/>
      <c r="AM280" s="59"/>
      <c r="AN280" s="59"/>
      <c r="AO280" s="59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28"/>
      <c r="BE280" s="28"/>
      <c r="BF280" s="28"/>
      <c r="BG280" s="56">
        <f t="shared" si="5"/>
        <v>30</v>
      </c>
      <c r="BH280" s="42">
        <f t="shared" si="6"/>
        <v>18</v>
      </c>
      <c r="BI280" s="43">
        <f t="shared" si="7"/>
        <v>0.6</v>
      </c>
      <c r="BJ280" s="44">
        <f t="shared" si="8"/>
        <v>11</v>
      </c>
      <c r="BK280" s="42">
        <f t="shared" si="9"/>
        <v>1</v>
      </c>
      <c r="BL280" s="28"/>
      <c r="BM280" s="28"/>
      <c r="BN280" s="28"/>
      <c r="BO280" s="28"/>
    </row>
    <row r="281">
      <c r="A281" s="14">
        <f t="shared" si="2"/>
        <v>278</v>
      </c>
      <c r="B281" s="86">
        <f t="shared" si="3"/>
        <v>46082</v>
      </c>
      <c r="C281" s="48">
        <v>46086.0</v>
      </c>
      <c r="D281" s="57">
        <f t="shared" si="4"/>
        <v>46086</v>
      </c>
      <c r="E281" s="59" t="s">
        <v>121</v>
      </c>
      <c r="F281" s="59" t="s">
        <v>120</v>
      </c>
      <c r="G281" s="59" t="s">
        <v>120</v>
      </c>
      <c r="H281" s="59" t="s">
        <v>121</v>
      </c>
      <c r="I281" s="59" t="s">
        <v>121</v>
      </c>
      <c r="J281" s="59" t="s">
        <v>120</v>
      </c>
      <c r="K281" s="59" t="s">
        <v>120</v>
      </c>
      <c r="L281" s="59" t="s">
        <v>120</v>
      </c>
      <c r="M281" s="59" t="s">
        <v>120</v>
      </c>
      <c r="N281" s="59" t="s">
        <v>120</v>
      </c>
      <c r="O281" s="59" t="s">
        <v>120</v>
      </c>
      <c r="P281" s="59" t="s">
        <v>121</v>
      </c>
      <c r="Q281" s="59" t="s">
        <v>120</v>
      </c>
      <c r="R281" s="59" t="s">
        <v>121</v>
      </c>
      <c r="S281" s="59" t="s">
        <v>121</v>
      </c>
      <c r="T281" s="59" t="s">
        <v>120</v>
      </c>
      <c r="U281" s="59" t="s">
        <v>120</v>
      </c>
      <c r="V281" s="59" t="s">
        <v>120</v>
      </c>
      <c r="W281" s="59" t="s">
        <v>120</v>
      </c>
      <c r="X281" s="59" t="s">
        <v>120</v>
      </c>
      <c r="Y281" s="59" t="s">
        <v>120</v>
      </c>
      <c r="Z281" s="59" t="s">
        <v>120</v>
      </c>
      <c r="AA281" s="59" t="s">
        <v>120</v>
      </c>
      <c r="AB281" s="59" t="s">
        <v>92</v>
      </c>
      <c r="AC281" s="59" t="s">
        <v>120</v>
      </c>
      <c r="AD281" s="59" t="s">
        <v>120</v>
      </c>
      <c r="AE281" s="59" t="s">
        <v>120</v>
      </c>
      <c r="AF281" s="59" t="s">
        <v>120</v>
      </c>
      <c r="AG281" s="59" t="s">
        <v>120</v>
      </c>
      <c r="AH281" s="59" t="s">
        <v>120</v>
      </c>
      <c r="AI281" s="60"/>
      <c r="AJ281" s="60"/>
      <c r="AK281" s="60"/>
      <c r="AL281" s="60"/>
      <c r="AM281" s="60"/>
      <c r="AN281" s="60"/>
      <c r="AO281" s="60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28"/>
      <c r="BE281" s="28"/>
      <c r="BF281" s="28"/>
      <c r="BG281" s="56">
        <f t="shared" si="5"/>
        <v>30</v>
      </c>
      <c r="BH281" s="42">
        <f t="shared" si="6"/>
        <v>23</v>
      </c>
      <c r="BI281" s="43">
        <f t="shared" si="7"/>
        <v>0.7666666667</v>
      </c>
      <c r="BJ281" s="44">
        <f t="shared" si="8"/>
        <v>6</v>
      </c>
      <c r="BK281" s="42">
        <f t="shared" si="9"/>
        <v>1</v>
      </c>
      <c r="BL281" s="28"/>
      <c r="BM281" s="28"/>
      <c r="BN281" s="28"/>
      <c r="BO281" s="28"/>
    </row>
    <row r="282">
      <c r="A282" s="14">
        <f t="shared" si="2"/>
        <v>279</v>
      </c>
      <c r="B282" s="86">
        <f t="shared" si="3"/>
        <v>46082</v>
      </c>
      <c r="C282" s="48">
        <v>46087.0</v>
      </c>
      <c r="D282" s="57">
        <f t="shared" si="4"/>
        <v>46087</v>
      </c>
      <c r="E282" s="59" t="s">
        <v>121</v>
      </c>
      <c r="F282" s="59" t="s">
        <v>121</v>
      </c>
      <c r="G282" s="59" t="s">
        <v>120</v>
      </c>
      <c r="H282" s="59" t="s">
        <v>121</v>
      </c>
      <c r="I282" s="59" t="s">
        <v>121</v>
      </c>
      <c r="J282" s="59" t="s">
        <v>120</v>
      </c>
      <c r="K282" s="59" t="s">
        <v>120</v>
      </c>
      <c r="L282" s="59" t="s">
        <v>120</v>
      </c>
      <c r="M282" s="59" t="s">
        <v>120</v>
      </c>
      <c r="N282" s="59" t="s">
        <v>121</v>
      </c>
      <c r="O282" s="59" t="s">
        <v>121</v>
      </c>
      <c r="P282" s="59" t="s">
        <v>120</v>
      </c>
      <c r="Q282" s="59" t="s">
        <v>120</v>
      </c>
      <c r="R282" s="59" t="s">
        <v>120</v>
      </c>
      <c r="S282" s="59" t="s">
        <v>120</v>
      </c>
      <c r="T282" s="59" t="s">
        <v>121</v>
      </c>
      <c r="U282" s="59" t="s">
        <v>120</v>
      </c>
      <c r="V282" s="59" t="s">
        <v>120</v>
      </c>
      <c r="W282" s="59" t="s">
        <v>120</v>
      </c>
      <c r="X282" s="59" t="s">
        <v>120</v>
      </c>
      <c r="Y282" s="59" t="s">
        <v>120</v>
      </c>
      <c r="Z282" s="59" t="s">
        <v>120</v>
      </c>
      <c r="AA282" s="59" t="s">
        <v>120</v>
      </c>
      <c r="AB282" s="59" t="s">
        <v>92</v>
      </c>
      <c r="AC282" s="59" t="s">
        <v>120</v>
      </c>
      <c r="AD282" s="59" t="s">
        <v>120</v>
      </c>
      <c r="AE282" s="59" t="s">
        <v>120</v>
      </c>
      <c r="AF282" s="59" t="s">
        <v>121</v>
      </c>
      <c r="AG282" s="59" t="s">
        <v>121</v>
      </c>
      <c r="AH282" s="59" t="s">
        <v>121</v>
      </c>
      <c r="AI282" s="59"/>
      <c r="AJ282" s="59"/>
      <c r="AK282" s="59"/>
      <c r="AL282" s="59"/>
      <c r="AM282" s="59"/>
      <c r="AN282" s="59"/>
      <c r="AO282" s="59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28"/>
      <c r="BE282" s="28"/>
      <c r="BF282" s="28"/>
      <c r="BG282" s="56">
        <f t="shared" si="5"/>
        <v>30</v>
      </c>
      <c r="BH282" s="42">
        <f t="shared" si="6"/>
        <v>19</v>
      </c>
      <c r="BI282" s="43">
        <f t="shared" si="7"/>
        <v>0.6333333333</v>
      </c>
      <c r="BJ282" s="44">
        <f t="shared" si="8"/>
        <v>10</v>
      </c>
      <c r="BK282" s="42">
        <f t="shared" si="9"/>
        <v>1</v>
      </c>
      <c r="BL282" s="28"/>
      <c r="BM282" s="28"/>
      <c r="BN282" s="28"/>
      <c r="BO282" s="28"/>
    </row>
    <row r="283">
      <c r="A283" s="14">
        <f t="shared" si="2"/>
        <v>280</v>
      </c>
      <c r="B283" s="86">
        <f t="shared" si="3"/>
        <v>46082</v>
      </c>
      <c r="C283" s="48">
        <v>46088.0</v>
      </c>
      <c r="D283" s="57">
        <f t="shared" si="4"/>
        <v>46088</v>
      </c>
      <c r="E283" s="59" t="s">
        <v>120</v>
      </c>
      <c r="F283" s="59" t="s">
        <v>120</v>
      </c>
      <c r="G283" s="59" t="s">
        <v>120</v>
      </c>
      <c r="H283" s="59" t="s">
        <v>121</v>
      </c>
      <c r="I283" s="59" t="s">
        <v>121</v>
      </c>
      <c r="J283" s="59" t="s">
        <v>120</v>
      </c>
      <c r="K283" s="59" t="s">
        <v>120</v>
      </c>
      <c r="L283" s="59" t="s">
        <v>120</v>
      </c>
      <c r="M283" s="59" t="s">
        <v>120</v>
      </c>
      <c r="N283" s="59" t="s">
        <v>120</v>
      </c>
      <c r="O283" s="59" t="s">
        <v>120</v>
      </c>
      <c r="P283" s="59" t="s">
        <v>120</v>
      </c>
      <c r="Q283" s="59" t="s">
        <v>120</v>
      </c>
      <c r="R283" s="59" t="s">
        <v>120</v>
      </c>
      <c r="S283" s="59" t="s">
        <v>121</v>
      </c>
      <c r="T283" s="59" t="s">
        <v>120</v>
      </c>
      <c r="U283" s="59" t="s">
        <v>120</v>
      </c>
      <c r="V283" s="59" t="s">
        <v>120</v>
      </c>
      <c r="W283" s="59" t="s">
        <v>120</v>
      </c>
      <c r="X283" s="59" t="s">
        <v>121</v>
      </c>
      <c r="Y283" s="59" t="s">
        <v>121</v>
      </c>
      <c r="Z283" s="59" t="s">
        <v>120</v>
      </c>
      <c r="AA283" s="59" t="s">
        <v>120</v>
      </c>
      <c r="AB283" s="59" t="s">
        <v>92</v>
      </c>
      <c r="AC283" s="59" t="s">
        <v>120</v>
      </c>
      <c r="AD283" s="59" t="s">
        <v>121</v>
      </c>
      <c r="AE283" s="59" t="s">
        <v>120</v>
      </c>
      <c r="AF283" s="59" t="s">
        <v>120</v>
      </c>
      <c r="AG283" s="59" t="s">
        <v>120</v>
      </c>
      <c r="AH283" s="59" t="s">
        <v>120</v>
      </c>
      <c r="AI283" s="59"/>
      <c r="AJ283" s="59"/>
      <c r="AK283" s="59"/>
      <c r="AL283" s="59"/>
      <c r="AM283" s="59"/>
      <c r="AN283" s="59"/>
      <c r="AO283" s="59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28"/>
      <c r="BE283" s="28"/>
      <c r="BF283" s="28"/>
      <c r="BG283" s="56">
        <f t="shared" si="5"/>
        <v>30</v>
      </c>
      <c r="BH283" s="42">
        <f t="shared" si="6"/>
        <v>23</v>
      </c>
      <c r="BI283" s="43">
        <f t="shared" si="7"/>
        <v>0.7666666667</v>
      </c>
      <c r="BJ283" s="44">
        <f t="shared" si="8"/>
        <v>6</v>
      </c>
      <c r="BK283" s="42">
        <f t="shared" si="9"/>
        <v>1</v>
      </c>
      <c r="BL283" s="28"/>
      <c r="BM283" s="28"/>
      <c r="BN283" s="28"/>
      <c r="BO283" s="28"/>
    </row>
    <row r="284">
      <c r="A284" s="14">
        <f t="shared" si="2"/>
        <v>281</v>
      </c>
      <c r="B284" s="86">
        <f t="shared" si="3"/>
        <v>46082</v>
      </c>
      <c r="C284" s="48">
        <v>46089.0</v>
      </c>
      <c r="D284" s="49">
        <f t="shared" si="4"/>
        <v>46089</v>
      </c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0"/>
      <c r="BC284" s="50"/>
      <c r="BD284" s="78"/>
      <c r="BE284" s="78"/>
      <c r="BF284" s="78"/>
      <c r="BG284" s="56">
        <f t="shared" si="5"/>
        <v>0</v>
      </c>
      <c r="BH284" s="42">
        <f t="shared" si="6"/>
        <v>0</v>
      </c>
      <c r="BI284" s="43" t="str">
        <f t="shared" si="7"/>
        <v>#DIV/0!</v>
      </c>
      <c r="BJ284" s="44">
        <f t="shared" si="8"/>
        <v>0</v>
      </c>
      <c r="BK284" s="42">
        <f t="shared" si="9"/>
        <v>0</v>
      </c>
      <c r="BL284" s="28"/>
      <c r="BM284" s="28"/>
      <c r="BN284" s="28"/>
      <c r="BO284" s="28"/>
    </row>
    <row r="285">
      <c r="A285" s="14">
        <f t="shared" si="2"/>
        <v>282</v>
      </c>
      <c r="B285" s="86">
        <f t="shared" si="3"/>
        <v>46082</v>
      </c>
      <c r="C285" s="48">
        <v>46090.0</v>
      </c>
      <c r="D285" s="57">
        <f t="shared" si="4"/>
        <v>46090</v>
      </c>
      <c r="E285" s="59" t="s">
        <v>120</v>
      </c>
      <c r="F285" s="59" t="s">
        <v>120</v>
      </c>
      <c r="G285" s="59" t="s">
        <v>121</v>
      </c>
      <c r="H285" s="59" t="s">
        <v>121</v>
      </c>
      <c r="I285" s="59" t="s">
        <v>121</v>
      </c>
      <c r="J285" s="59" t="s">
        <v>120</v>
      </c>
      <c r="K285" s="59" t="s">
        <v>120</v>
      </c>
      <c r="L285" s="59" t="s">
        <v>120</v>
      </c>
      <c r="M285" s="59" t="s">
        <v>120</v>
      </c>
      <c r="N285" s="59" t="s">
        <v>120</v>
      </c>
      <c r="O285" s="59" t="s">
        <v>120</v>
      </c>
      <c r="P285" s="59" t="s">
        <v>120</v>
      </c>
      <c r="Q285" s="59" t="s">
        <v>120</v>
      </c>
      <c r="R285" s="59" t="s">
        <v>121</v>
      </c>
      <c r="S285" s="59" t="s">
        <v>121</v>
      </c>
      <c r="T285" s="59" t="s">
        <v>121</v>
      </c>
      <c r="U285" s="59" t="s">
        <v>121</v>
      </c>
      <c r="V285" s="59" t="s">
        <v>120</v>
      </c>
      <c r="W285" s="59" t="s">
        <v>120</v>
      </c>
      <c r="X285" s="59" t="s">
        <v>120</v>
      </c>
      <c r="Y285" s="59" t="s">
        <v>121</v>
      </c>
      <c r="Z285" s="59" t="s">
        <v>121</v>
      </c>
      <c r="AA285" s="59" t="s">
        <v>120</v>
      </c>
      <c r="AB285" s="59" t="s">
        <v>92</v>
      </c>
      <c r="AC285" s="59" t="s">
        <v>121</v>
      </c>
      <c r="AD285" s="59" t="s">
        <v>121</v>
      </c>
      <c r="AE285" s="59" t="s">
        <v>120</v>
      </c>
      <c r="AF285" s="59" t="s">
        <v>120</v>
      </c>
      <c r="AG285" s="59" t="s">
        <v>120</v>
      </c>
      <c r="AH285" s="59" t="s">
        <v>120</v>
      </c>
      <c r="AI285" s="59"/>
      <c r="AJ285" s="59"/>
      <c r="AK285" s="59"/>
      <c r="AL285" s="59"/>
      <c r="AM285" s="59"/>
      <c r="AN285" s="59"/>
      <c r="AO285" s="59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28"/>
      <c r="BE285" s="28"/>
      <c r="BF285" s="28"/>
      <c r="BG285" s="56">
        <f t="shared" si="5"/>
        <v>30</v>
      </c>
      <c r="BH285" s="42">
        <f t="shared" si="6"/>
        <v>18</v>
      </c>
      <c r="BI285" s="43">
        <f t="shared" si="7"/>
        <v>0.6</v>
      </c>
      <c r="BJ285" s="44">
        <f t="shared" si="8"/>
        <v>11</v>
      </c>
      <c r="BK285" s="42">
        <f t="shared" si="9"/>
        <v>1</v>
      </c>
      <c r="BL285" s="28"/>
      <c r="BM285" s="28"/>
      <c r="BN285" s="28"/>
      <c r="BO285" s="28"/>
    </row>
    <row r="286">
      <c r="A286" s="14">
        <f t="shared" si="2"/>
        <v>283</v>
      </c>
      <c r="B286" s="86">
        <f t="shared" si="3"/>
        <v>46082</v>
      </c>
      <c r="C286" s="48">
        <v>46091.0</v>
      </c>
      <c r="D286" s="57">
        <f t="shared" si="4"/>
        <v>46091</v>
      </c>
      <c r="E286" s="59" t="s">
        <v>121</v>
      </c>
      <c r="F286" s="59" t="s">
        <v>120</v>
      </c>
      <c r="G286" s="59" t="s">
        <v>121</v>
      </c>
      <c r="H286" s="59" t="s">
        <v>121</v>
      </c>
      <c r="I286" s="59" t="s">
        <v>120</v>
      </c>
      <c r="J286" s="59" t="s">
        <v>120</v>
      </c>
      <c r="K286" s="59" t="s">
        <v>120</v>
      </c>
      <c r="L286" s="59" t="s">
        <v>121</v>
      </c>
      <c r="M286" s="59" t="s">
        <v>120</v>
      </c>
      <c r="N286" s="59" t="s">
        <v>120</v>
      </c>
      <c r="O286" s="59" t="s">
        <v>120</v>
      </c>
      <c r="P286" s="59" t="s">
        <v>120</v>
      </c>
      <c r="Q286" s="59" t="s">
        <v>120</v>
      </c>
      <c r="R286" s="59" t="s">
        <v>120</v>
      </c>
      <c r="S286" s="59" t="s">
        <v>120</v>
      </c>
      <c r="T286" s="59" t="s">
        <v>121</v>
      </c>
      <c r="U286" s="59" t="s">
        <v>120</v>
      </c>
      <c r="V286" s="59" t="s">
        <v>120</v>
      </c>
      <c r="W286" s="59" t="s">
        <v>120</v>
      </c>
      <c r="X286" s="59" t="s">
        <v>120</v>
      </c>
      <c r="Y286" s="59" t="s">
        <v>121</v>
      </c>
      <c r="Z286" s="59" t="s">
        <v>120</v>
      </c>
      <c r="AA286" s="59" t="s">
        <v>120</v>
      </c>
      <c r="AB286" s="59" t="s">
        <v>92</v>
      </c>
      <c r="AC286" s="59" t="s">
        <v>121</v>
      </c>
      <c r="AD286" s="59" t="s">
        <v>121</v>
      </c>
      <c r="AE286" s="59" t="s">
        <v>120</v>
      </c>
      <c r="AF286" s="59" t="s">
        <v>120</v>
      </c>
      <c r="AG286" s="59" t="s">
        <v>120</v>
      </c>
      <c r="AH286" s="59" t="s">
        <v>120</v>
      </c>
      <c r="AI286" s="59"/>
      <c r="AJ286" s="59"/>
      <c r="AK286" s="59"/>
      <c r="AL286" s="59"/>
      <c r="AM286" s="59"/>
      <c r="AN286" s="59"/>
      <c r="AO286" s="59"/>
      <c r="AP286" s="58"/>
      <c r="AQ286" s="58"/>
      <c r="AR286" s="58"/>
      <c r="AS286" s="58"/>
      <c r="AT286" s="58"/>
      <c r="AU286" s="58"/>
      <c r="AV286" s="58"/>
      <c r="AW286" s="58"/>
      <c r="AX286" s="58"/>
      <c r="AY286" s="58"/>
      <c r="AZ286" s="58"/>
      <c r="BA286" s="58"/>
      <c r="BB286" s="58"/>
      <c r="BC286" s="58"/>
      <c r="BD286" s="28"/>
      <c r="BE286" s="28"/>
      <c r="BF286" s="28"/>
      <c r="BG286" s="56">
        <f t="shared" si="5"/>
        <v>30</v>
      </c>
      <c r="BH286" s="42">
        <f t="shared" si="6"/>
        <v>21</v>
      </c>
      <c r="BI286" s="43">
        <f t="shared" si="7"/>
        <v>0.7</v>
      </c>
      <c r="BJ286" s="44">
        <f t="shared" si="8"/>
        <v>8</v>
      </c>
      <c r="BK286" s="42">
        <f t="shared" si="9"/>
        <v>1</v>
      </c>
      <c r="BL286" s="28"/>
      <c r="BM286" s="28"/>
      <c r="BN286" s="28"/>
      <c r="BO286" s="28"/>
    </row>
    <row r="287">
      <c r="A287" s="14">
        <f t="shared" si="2"/>
        <v>284</v>
      </c>
      <c r="B287" s="86">
        <f t="shared" si="3"/>
        <v>46082</v>
      </c>
      <c r="C287" s="48">
        <v>46092.0</v>
      </c>
      <c r="D287" s="57">
        <f t="shared" si="4"/>
        <v>46092</v>
      </c>
      <c r="E287" s="59" t="s">
        <v>121</v>
      </c>
      <c r="F287" s="59" t="s">
        <v>120</v>
      </c>
      <c r="G287" s="59" t="s">
        <v>121</v>
      </c>
      <c r="H287" s="59" t="s">
        <v>121</v>
      </c>
      <c r="I287" s="59" t="s">
        <v>120</v>
      </c>
      <c r="J287" s="59" t="s">
        <v>120</v>
      </c>
      <c r="K287" s="59" t="s">
        <v>120</v>
      </c>
      <c r="L287" s="59" t="s">
        <v>120</v>
      </c>
      <c r="M287" s="59" t="s">
        <v>120</v>
      </c>
      <c r="N287" s="59" t="s">
        <v>120</v>
      </c>
      <c r="O287" s="59" t="s">
        <v>120</v>
      </c>
      <c r="P287" s="59" t="s">
        <v>121</v>
      </c>
      <c r="Q287" s="59" t="s">
        <v>120</v>
      </c>
      <c r="R287" s="59" t="s">
        <v>120</v>
      </c>
      <c r="S287" s="59" t="s">
        <v>121</v>
      </c>
      <c r="T287" s="59" t="s">
        <v>120</v>
      </c>
      <c r="U287" s="59" t="s">
        <v>121</v>
      </c>
      <c r="V287" s="59" t="s">
        <v>121</v>
      </c>
      <c r="W287" s="59" t="s">
        <v>120</v>
      </c>
      <c r="X287" s="59" t="s">
        <v>120</v>
      </c>
      <c r="Y287" s="59" t="s">
        <v>121</v>
      </c>
      <c r="Z287" s="59" t="s">
        <v>120</v>
      </c>
      <c r="AA287" s="59" t="s">
        <v>121</v>
      </c>
      <c r="AB287" s="59" t="s">
        <v>92</v>
      </c>
      <c r="AC287" s="59" t="s">
        <v>121</v>
      </c>
      <c r="AD287" s="59" t="s">
        <v>120</v>
      </c>
      <c r="AE287" s="59" t="s">
        <v>120</v>
      </c>
      <c r="AF287" s="59" t="s">
        <v>121</v>
      </c>
      <c r="AG287" s="59" t="s">
        <v>121</v>
      </c>
      <c r="AH287" s="59" t="s">
        <v>121</v>
      </c>
      <c r="AI287" s="59"/>
      <c r="AJ287" s="59"/>
      <c r="AK287" s="59"/>
      <c r="AL287" s="59"/>
      <c r="AM287" s="59"/>
      <c r="AN287" s="59"/>
      <c r="AO287" s="59"/>
      <c r="AP287" s="58"/>
      <c r="AQ287" s="58"/>
      <c r="AR287" s="58"/>
      <c r="AS287" s="58"/>
      <c r="AT287" s="58"/>
      <c r="AU287" s="58"/>
      <c r="AV287" s="58"/>
      <c r="AW287" s="58"/>
      <c r="AX287" s="58"/>
      <c r="AY287" s="58"/>
      <c r="AZ287" s="58"/>
      <c r="BA287" s="58"/>
      <c r="BB287" s="58"/>
      <c r="BC287" s="58"/>
      <c r="BD287" s="28"/>
      <c r="BE287" s="28"/>
      <c r="BF287" s="28"/>
      <c r="BG287" s="56">
        <f t="shared" si="5"/>
        <v>30</v>
      </c>
      <c r="BH287" s="42">
        <f t="shared" si="6"/>
        <v>16</v>
      </c>
      <c r="BI287" s="43">
        <f t="shared" si="7"/>
        <v>0.5333333333</v>
      </c>
      <c r="BJ287" s="44">
        <f t="shared" si="8"/>
        <v>13</v>
      </c>
      <c r="BK287" s="42">
        <f t="shared" si="9"/>
        <v>1</v>
      </c>
      <c r="BL287" s="28"/>
      <c r="BM287" s="28"/>
      <c r="BN287" s="28"/>
      <c r="BO287" s="28"/>
    </row>
    <row r="288">
      <c r="A288" s="14">
        <f t="shared" si="2"/>
        <v>285</v>
      </c>
      <c r="B288" s="86">
        <f t="shared" si="3"/>
        <v>46082</v>
      </c>
      <c r="C288" s="48">
        <v>46093.0</v>
      </c>
      <c r="D288" s="57">
        <f t="shared" si="4"/>
        <v>46093</v>
      </c>
      <c r="E288" s="59" t="s">
        <v>121</v>
      </c>
      <c r="F288" s="59" t="s">
        <v>120</v>
      </c>
      <c r="G288" s="59" t="s">
        <v>121</v>
      </c>
      <c r="H288" s="59" t="s">
        <v>121</v>
      </c>
      <c r="I288" s="59" t="s">
        <v>121</v>
      </c>
      <c r="J288" s="59" t="s">
        <v>120</v>
      </c>
      <c r="K288" s="59" t="s">
        <v>120</v>
      </c>
      <c r="L288" s="59" t="s">
        <v>120</v>
      </c>
      <c r="M288" s="59" t="s">
        <v>121</v>
      </c>
      <c r="N288" s="59" t="s">
        <v>120</v>
      </c>
      <c r="O288" s="59" t="s">
        <v>120</v>
      </c>
      <c r="P288" s="59" t="s">
        <v>120</v>
      </c>
      <c r="Q288" s="59" t="s">
        <v>120</v>
      </c>
      <c r="R288" s="59" t="s">
        <v>120</v>
      </c>
      <c r="S288" s="59" t="s">
        <v>121</v>
      </c>
      <c r="T288" s="59" t="s">
        <v>120</v>
      </c>
      <c r="U288" s="59" t="s">
        <v>121</v>
      </c>
      <c r="V288" s="59" t="s">
        <v>120</v>
      </c>
      <c r="W288" s="59" t="s">
        <v>120</v>
      </c>
      <c r="X288" s="59" t="s">
        <v>120</v>
      </c>
      <c r="Y288" s="59" t="s">
        <v>121</v>
      </c>
      <c r="Z288" s="59" t="s">
        <v>121</v>
      </c>
      <c r="AA288" s="59" t="s">
        <v>120</v>
      </c>
      <c r="AB288" s="59" t="s">
        <v>92</v>
      </c>
      <c r="AC288" s="59" t="s">
        <v>120</v>
      </c>
      <c r="AD288" s="59" t="s">
        <v>120</v>
      </c>
      <c r="AE288" s="59" t="s">
        <v>120</v>
      </c>
      <c r="AF288" s="59" t="s">
        <v>120</v>
      </c>
      <c r="AG288" s="59" t="s">
        <v>120</v>
      </c>
      <c r="AH288" s="59" t="s">
        <v>120</v>
      </c>
      <c r="AI288" s="60"/>
      <c r="AJ288" s="60"/>
      <c r="AK288" s="60"/>
      <c r="AL288" s="60"/>
      <c r="AM288" s="60"/>
      <c r="AN288" s="60"/>
      <c r="AO288" s="60"/>
      <c r="AP288" s="58"/>
      <c r="AQ288" s="58"/>
      <c r="AR288" s="58"/>
      <c r="AS288" s="58"/>
      <c r="AT288" s="58"/>
      <c r="AU288" s="58"/>
      <c r="AV288" s="58"/>
      <c r="AW288" s="58"/>
      <c r="AX288" s="58"/>
      <c r="AY288" s="58"/>
      <c r="AZ288" s="58"/>
      <c r="BA288" s="58"/>
      <c r="BB288" s="58"/>
      <c r="BC288" s="58"/>
      <c r="BD288" s="28"/>
      <c r="BE288" s="28"/>
      <c r="BF288" s="28"/>
      <c r="BG288" s="56">
        <f t="shared" si="5"/>
        <v>30</v>
      </c>
      <c r="BH288" s="42">
        <f t="shared" si="6"/>
        <v>20</v>
      </c>
      <c r="BI288" s="43">
        <f t="shared" si="7"/>
        <v>0.6666666667</v>
      </c>
      <c r="BJ288" s="44">
        <f t="shared" si="8"/>
        <v>9</v>
      </c>
      <c r="BK288" s="42">
        <f t="shared" si="9"/>
        <v>1</v>
      </c>
      <c r="BL288" s="28"/>
      <c r="BM288" s="28"/>
      <c r="BN288" s="28"/>
      <c r="BO288" s="28"/>
    </row>
    <row r="289">
      <c r="A289" s="14">
        <f t="shared" si="2"/>
        <v>286</v>
      </c>
      <c r="B289" s="86">
        <f t="shared" si="3"/>
        <v>46082</v>
      </c>
      <c r="C289" s="48">
        <v>46094.0</v>
      </c>
      <c r="D289" s="57">
        <f t="shared" si="4"/>
        <v>46094</v>
      </c>
      <c r="E289" s="59" t="s">
        <v>121</v>
      </c>
      <c r="F289" s="59" t="s">
        <v>120</v>
      </c>
      <c r="G289" s="59" t="s">
        <v>120</v>
      </c>
      <c r="H289" s="59" t="s">
        <v>121</v>
      </c>
      <c r="I289" s="59" t="s">
        <v>121</v>
      </c>
      <c r="J289" s="59" t="s">
        <v>120</v>
      </c>
      <c r="K289" s="59" t="s">
        <v>120</v>
      </c>
      <c r="L289" s="59" t="s">
        <v>120</v>
      </c>
      <c r="M289" s="59" t="s">
        <v>120</v>
      </c>
      <c r="N289" s="59" t="s">
        <v>120</v>
      </c>
      <c r="O289" s="59" t="s">
        <v>120</v>
      </c>
      <c r="P289" s="59" t="s">
        <v>120</v>
      </c>
      <c r="Q289" s="59" t="s">
        <v>120</v>
      </c>
      <c r="R289" s="59" t="s">
        <v>120</v>
      </c>
      <c r="S289" s="59" t="s">
        <v>121</v>
      </c>
      <c r="T289" s="59" t="s">
        <v>120</v>
      </c>
      <c r="U289" s="59" t="s">
        <v>120</v>
      </c>
      <c r="V289" s="59" t="s">
        <v>120</v>
      </c>
      <c r="W289" s="59" t="s">
        <v>120</v>
      </c>
      <c r="X289" s="59" t="s">
        <v>120</v>
      </c>
      <c r="Y289" s="59" t="s">
        <v>120</v>
      </c>
      <c r="Z289" s="59" t="s">
        <v>120</v>
      </c>
      <c r="AA289" s="59" t="s">
        <v>120</v>
      </c>
      <c r="AB289" s="59" t="s">
        <v>92</v>
      </c>
      <c r="AC289" s="59" t="s">
        <v>120</v>
      </c>
      <c r="AD289" s="59" t="s">
        <v>120</v>
      </c>
      <c r="AE289" s="59" t="s">
        <v>120</v>
      </c>
      <c r="AF289" s="59" t="s">
        <v>121</v>
      </c>
      <c r="AG289" s="59" t="s">
        <v>121</v>
      </c>
      <c r="AH289" s="59" t="s">
        <v>121</v>
      </c>
      <c r="AI289" s="59"/>
      <c r="AJ289" s="59"/>
      <c r="AK289" s="59"/>
      <c r="AL289" s="59"/>
      <c r="AM289" s="59"/>
      <c r="AN289" s="59"/>
      <c r="AO289" s="59"/>
      <c r="AP289" s="58"/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8"/>
      <c r="BB289" s="58"/>
      <c r="BC289" s="58"/>
      <c r="BD289" s="28"/>
      <c r="BE289" s="28"/>
      <c r="BF289" s="28"/>
      <c r="BG289" s="56">
        <f t="shared" si="5"/>
        <v>30</v>
      </c>
      <c r="BH289" s="42">
        <f t="shared" si="6"/>
        <v>22</v>
      </c>
      <c r="BI289" s="43">
        <f t="shared" si="7"/>
        <v>0.7333333333</v>
      </c>
      <c r="BJ289" s="44">
        <f t="shared" si="8"/>
        <v>7</v>
      </c>
      <c r="BK289" s="42">
        <f t="shared" si="9"/>
        <v>1</v>
      </c>
      <c r="BL289" s="28"/>
      <c r="BM289" s="28"/>
      <c r="BN289" s="28"/>
      <c r="BO289" s="28"/>
    </row>
    <row r="290">
      <c r="A290" s="14">
        <f t="shared" si="2"/>
        <v>287</v>
      </c>
      <c r="B290" s="86">
        <f t="shared" si="3"/>
        <v>46082</v>
      </c>
      <c r="C290" s="48">
        <v>46095.0</v>
      </c>
      <c r="D290" s="57">
        <f t="shared" si="4"/>
        <v>46095</v>
      </c>
      <c r="E290" s="59" t="s">
        <v>121</v>
      </c>
      <c r="F290" s="59" t="s">
        <v>120</v>
      </c>
      <c r="G290" s="59" t="s">
        <v>120</v>
      </c>
      <c r="H290" s="59" t="s">
        <v>121</v>
      </c>
      <c r="I290" s="59" t="s">
        <v>120</v>
      </c>
      <c r="J290" s="59" t="s">
        <v>120</v>
      </c>
      <c r="K290" s="59" t="s">
        <v>120</v>
      </c>
      <c r="L290" s="59" t="s">
        <v>120</v>
      </c>
      <c r="M290" s="59" t="s">
        <v>120</v>
      </c>
      <c r="N290" s="59" t="s">
        <v>120</v>
      </c>
      <c r="O290" s="59" t="s">
        <v>120</v>
      </c>
      <c r="P290" s="59" t="s">
        <v>120</v>
      </c>
      <c r="Q290" s="59" t="s">
        <v>120</v>
      </c>
      <c r="R290" s="59" t="s">
        <v>120</v>
      </c>
      <c r="S290" s="59" t="s">
        <v>120</v>
      </c>
      <c r="T290" s="59" t="s">
        <v>120</v>
      </c>
      <c r="U290" s="59" t="s">
        <v>120</v>
      </c>
      <c r="V290" s="59" t="s">
        <v>120</v>
      </c>
      <c r="W290" s="59" t="s">
        <v>120</v>
      </c>
      <c r="X290" s="59" t="s">
        <v>121</v>
      </c>
      <c r="Y290" s="59" t="s">
        <v>121</v>
      </c>
      <c r="Z290" s="59" t="s">
        <v>120</v>
      </c>
      <c r="AA290" s="59" t="s">
        <v>120</v>
      </c>
      <c r="AB290" s="59" t="s">
        <v>92</v>
      </c>
      <c r="AC290" s="59" t="s">
        <v>120</v>
      </c>
      <c r="AD290" s="59" t="s">
        <v>120</v>
      </c>
      <c r="AE290" s="59" t="s">
        <v>120</v>
      </c>
      <c r="AF290" s="59" t="s">
        <v>120</v>
      </c>
      <c r="AG290" s="59" t="s">
        <v>120</v>
      </c>
      <c r="AH290" s="59" t="s">
        <v>120</v>
      </c>
      <c r="AI290" s="59"/>
      <c r="AJ290" s="59"/>
      <c r="AK290" s="59"/>
      <c r="AL290" s="59"/>
      <c r="AM290" s="59"/>
      <c r="AN290" s="59"/>
      <c r="AO290" s="59"/>
      <c r="AP290" s="58"/>
      <c r="AQ290" s="58"/>
      <c r="AR290" s="58"/>
      <c r="AS290" s="58"/>
      <c r="AT290" s="58"/>
      <c r="AU290" s="58"/>
      <c r="AV290" s="58"/>
      <c r="AW290" s="58"/>
      <c r="AX290" s="58"/>
      <c r="AY290" s="58"/>
      <c r="AZ290" s="58"/>
      <c r="BA290" s="58"/>
      <c r="BB290" s="58"/>
      <c r="BC290" s="58"/>
      <c r="BD290" s="28"/>
      <c r="BE290" s="28"/>
      <c r="BF290" s="28"/>
      <c r="BG290" s="56">
        <f t="shared" si="5"/>
        <v>30</v>
      </c>
      <c r="BH290" s="42">
        <f t="shared" si="6"/>
        <v>25</v>
      </c>
      <c r="BI290" s="43">
        <f t="shared" si="7"/>
        <v>0.8333333333</v>
      </c>
      <c r="BJ290" s="44">
        <f t="shared" si="8"/>
        <v>4</v>
      </c>
      <c r="BK290" s="42">
        <f t="shared" si="9"/>
        <v>1</v>
      </c>
      <c r="BL290" s="28"/>
      <c r="BM290" s="28"/>
      <c r="BN290" s="28"/>
      <c r="BO290" s="28"/>
    </row>
    <row r="291">
      <c r="A291" s="14">
        <f t="shared" si="2"/>
        <v>288</v>
      </c>
      <c r="B291" s="86">
        <f t="shared" si="3"/>
        <v>46082</v>
      </c>
      <c r="C291" s="48">
        <v>46096.0</v>
      </c>
      <c r="D291" s="49">
        <f t="shared" si="4"/>
        <v>46096</v>
      </c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0"/>
      <c r="AQ291" s="50"/>
      <c r="AR291" s="50"/>
      <c r="AS291" s="50"/>
      <c r="AT291" s="50"/>
      <c r="AU291" s="50"/>
      <c r="AV291" s="50"/>
      <c r="AW291" s="50"/>
      <c r="AX291" s="50"/>
      <c r="AY291" s="50"/>
      <c r="AZ291" s="50"/>
      <c r="BA291" s="50"/>
      <c r="BB291" s="50"/>
      <c r="BC291" s="50"/>
      <c r="BD291" s="78"/>
      <c r="BE291" s="78"/>
      <c r="BF291" s="78"/>
      <c r="BG291" s="56">
        <f t="shared" si="5"/>
        <v>0</v>
      </c>
      <c r="BH291" s="42">
        <f t="shared" si="6"/>
        <v>0</v>
      </c>
      <c r="BI291" s="43" t="str">
        <f t="shared" si="7"/>
        <v>#DIV/0!</v>
      </c>
      <c r="BJ291" s="44">
        <f t="shared" si="8"/>
        <v>0</v>
      </c>
      <c r="BK291" s="42">
        <f t="shared" si="9"/>
        <v>0</v>
      </c>
      <c r="BL291" s="28"/>
      <c r="BM291" s="28"/>
      <c r="BN291" s="28"/>
      <c r="BO291" s="28"/>
    </row>
    <row r="292">
      <c r="A292" s="14">
        <f t="shared" si="2"/>
        <v>289</v>
      </c>
      <c r="B292" s="86">
        <f t="shared" si="3"/>
        <v>46082</v>
      </c>
      <c r="C292" s="48">
        <v>46097.0</v>
      </c>
      <c r="D292" s="57">
        <f t="shared" si="4"/>
        <v>46097</v>
      </c>
      <c r="E292" s="59" t="s">
        <v>120</v>
      </c>
      <c r="F292" s="59" t="s">
        <v>120</v>
      </c>
      <c r="G292" s="59" t="s">
        <v>121</v>
      </c>
      <c r="H292" s="59" t="s">
        <v>121</v>
      </c>
      <c r="I292" s="59" t="s">
        <v>120</v>
      </c>
      <c r="J292" s="59" t="s">
        <v>120</v>
      </c>
      <c r="K292" s="59" t="s">
        <v>120</v>
      </c>
      <c r="L292" s="59" t="s">
        <v>121</v>
      </c>
      <c r="M292" s="59" t="s">
        <v>120</v>
      </c>
      <c r="N292" s="59" t="s">
        <v>120</v>
      </c>
      <c r="O292" s="59" t="s">
        <v>120</v>
      </c>
      <c r="P292" s="59" t="s">
        <v>120</v>
      </c>
      <c r="Q292" s="59" t="s">
        <v>120</v>
      </c>
      <c r="R292" s="59" t="s">
        <v>120</v>
      </c>
      <c r="S292" s="59" t="s">
        <v>120</v>
      </c>
      <c r="T292" s="59" t="s">
        <v>120</v>
      </c>
      <c r="U292" s="59" t="s">
        <v>120</v>
      </c>
      <c r="V292" s="59" t="s">
        <v>120</v>
      </c>
      <c r="W292" s="59" t="s">
        <v>120</v>
      </c>
      <c r="X292" s="59" t="s">
        <v>120</v>
      </c>
      <c r="Y292" s="59" t="s">
        <v>120</v>
      </c>
      <c r="Z292" s="59" t="s">
        <v>120</v>
      </c>
      <c r="AA292" s="59" t="s">
        <v>120</v>
      </c>
      <c r="AB292" s="59" t="s">
        <v>92</v>
      </c>
      <c r="AC292" s="59" t="s">
        <v>120</v>
      </c>
      <c r="AD292" s="59" t="s">
        <v>120</v>
      </c>
      <c r="AE292" s="59" t="s">
        <v>120</v>
      </c>
      <c r="AF292" s="59" t="s">
        <v>121</v>
      </c>
      <c r="AG292" s="59" t="s">
        <v>121</v>
      </c>
      <c r="AH292" s="59" t="s">
        <v>121</v>
      </c>
      <c r="AI292" s="59"/>
      <c r="AJ292" s="59"/>
      <c r="AK292" s="59"/>
      <c r="AL292" s="59"/>
      <c r="AM292" s="59"/>
      <c r="AN292" s="59"/>
      <c r="AO292" s="59"/>
      <c r="AP292" s="58"/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  <c r="BC292" s="58"/>
      <c r="BD292" s="28"/>
      <c r="BE292" s="28"/>
      <c r="BF292" s="28"/>
      <c r="BG292" s="56">
        <f t="shared" si="5"/>
        <v>30</v>
      </c>
      <c r="BH292" s="42">
        <f t="shared" si="6"/>
        <v>23</v>
      </c>
      <c r="BI292" s="43">
        <f t="shared" si="7"/>
        <v>0.7666666667</v>
      </c>
      <c r="BJ292" s="44">
        <f t="shared" si="8"/>
        <v>6</v>
      </c>
      <c r="BK292" s="42">
        <f t="shared" si="9"/>
        <v>1</v>
      </c>
      <c r="BL292" s="28"/>
      <c r="BM292" s="28"/>
      <c r="BN292" s="28"/>
      <c r="BO292" s="28"/>
    </row>
    <row r="293">
      <c r="A293" s="14">
        <f t="shared" si="2"/>
        <v>290</v>
      </c>
      <c r="B293" s="86">
        <f t="shared" si="3"/>
        <v>46082</v>
      </c>
      <c r="C293" s="48">
        <v>46098.0</v>
      </c>
      <c r="D293" s="57">
        <f t="shared" si="4"/>
        <v>46098</v>
      </c>
      <c r="E293" s="84" t="s">
        <v>121</v>
      </c>
      <c r="F293" s="84" t="s">
        <v>120</v>
      </c>
      <c r="G293" s="84" t="s">
        <v>121</v>
      </c>
      <c r="H293" s="84" t="s">
        <v>121</v>
      </c>
      <c r="I293" s="84" t="s">
        <v>120</v>
      </c>
      <c r="J293" s="84" t="s">
        <v>120</v>
      </c>
      <c r="K293" s="84" t="s">
        <v>120</v>
      </c>
      <c r="L293" s="84" t="s">
        <v>120</v>
      </c>
      <c r="M293" s="84" t="s">
        <v>120</v>
      </c>
      <c r="N293" s="84" t="s">
        <v>120</v>
      </c>
      <c r="O293" s="84" t="s">
        <v>120</v>
      </c>
      <c r="P293" s="84" t="s">
        <v>120</v>
      </c>
      <c r="Q293" s="84" t="s">
        <v>120</v>
      </c>
      <c r="R293" s="84" t="s">
        <v>120</v>
      </c>
      <c r="S293" s="84" t="s">
        <v>120</v>
      </c>
      <c r="T293" s="84" t="s">
        <v>121</v>
      </c>
      <c r="U293" s="84" t="s">
        <v>121</v>
      </c>
      <c r="V293" s="84" t="s">
        <v>120</v>
      </c>
      <c r="W293" s="84" t="s">
        <v>120</v>
      </c>
      <c r="X293" s="84" t="s">
        <v>120</v>
      </c>
      <c r="Y293" s="84" t="s">
        <v>121</v>
      </c>
      <c r="Z293" s="84" t="s">
        <v>120</v>
      </c>
      <c r="AA293" s="84" t="s">
        <v>120</v>
      </c>
      <c r="AB293" s="84" t="s">
        <v>92</v>
      </c>
      <c r="AC293" s="84" t="s">
        <v>120</v>
      </c>
      <c r="AD293" s="84" t="s">
        <v>120</v>
      </c>
      <c r="AE293" s="84" t="s">
        <v>120</v>
      </c>
      <c r="AF293" s="84" t="s">
        <v>121</v>
      </c>
      <c r="AG293" s="84" t="s">
        <v>121</v>
      </c>
      <c r="AH293" s="84" t="s">
        <v>121</v>
      </c>
      <c r="AI293" s="84"/>
      <c r="AJ293" s="84"/>
      <c r="AK293" s="84"/>
      <c r="AL293" s="84"/>
      <c r="AM293" s="84"/>
      <c r="AN293" s="84"/>
      <c r="AO293" s="84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  <c r="BD293" s="28"/>
      <c r="BE293" s="28"/>
      <c r="BF293" s="28"/>
      <c r="BG293" s="56">
        <f t="shared" si="5"/>
        <v>30</v>
      </c>
      <c r="BH293" s="42">
        <f t="shared" si="6"/>
        <v>20</v>
      </c>
      <c r="BI293" s="43">
        <f t="shared" si="7"/>
        <v>0.6666666667</v>
      </c>
      <c r="BJ293" s="44">
        <f t="shared" si="8"/>
        <v>9</v>
      </c>
      <c r="BK293" s="42">
        <f t="shared" si="9"/>
        <v>1</v>
      </c>
      <c r="BL293" s="28"/>
      <c r="BM293" s="28"/>
      <c r="BN293" s="28"/>
      <c r="BO293" s="28"/>
    </row>
    <row r="294">
      <c r="A294" s="14">
        <f t="shared" si="2"/>
        <v>291</v>
      </c>
      <c r="B294" s="86">
        <f t="shared" si="3"/>
        <v>46082</v>
      </c>
      <c r="C294" s="48">
        <v>46099.0</v>
      </c>
      <c r="D294" s="57">
        <f t="shared" si="4"/>
        <v>46099</v>
      </c>
      <c r="E294" s="59" t="s">
        <v>120</v>
      </c>
      <c r="F294" s="59" t="s">
        <v>120</v>
      </c>
      <c r="G294" s="59" t="s">
        <v>120</v>
      </c>
      <c r="H294" s="59" t="s">
        <v>121</v>
      </c>
      <c r="I294" s="59" t="s">
        <v>120</v>
      </c>
      <c r="J294" s="59" t="s">
        <v>120</v>
      </c>
      <c r="K294" s="59" t="s">
        <v>120</v>
      </c>
      <c r="L294" s="59" t="s">
        <v>121</v>
      </c>
      <c r="M294" s="59" t="s">
        <v>120</v>
      </c>
      <c r="N294" s="59" t="s">
        <v>120</v>
      </c>
      <c r="O294" s="59" t="s">
        <v>120</v>
      </c>
      <c r="P294" s="59" t="s">
        <v>120</v>
      </c>
      <c r="Q294" s="59" t="s">
        <v>120</v>
      </c>
      <c r="R294" s="59" t="s">
        <v>120</v>
      </c>
      <c r="S294" s="59" t="s">
        <v>120</v>
      </c>
      <c r="T294" s="59" t="s">
        <v>120</v>
      </c>
      <c r="U294" s="59" t="s">
        <v>120</v>
      </c>
      <c r="V294" s="59" t="s">
        <v>120</v>
      </c>
      <c r="W294" s="59" t="s">
        <v>120</v>
      </c>
      <c r="X294" s="59" t="s">
        <v>120</v>
      </c>
      <c r="Y294" s="59" t="s">
        <v>120</v>
      </c>
      <c r="Z294" s="59" t="s">
        <v>120</v>
      </c>
      <c r="AA294" s="59" t="s">
        <v>120</v>
      </c>
      <c r="AB294" s="59" t="s">
        <v>92</v>
      </c>
      <c r="AC294" s="59" t="s">
        <v>121</v>
      </c>
      <c r="AD294" s="59" t="s">
        <v>121</v>
      </c>
      <c r="AE294" s="59" t="s">
        <v>120</v>
      </c>
      <c r="AF294" s="59" t="s">
        <v>120</v>
      </c>
      <c r="AG294" s="59" t="s">
        <v>120</v>
      </c>
      <c r="AH294" s="59" t="s">
        <v>120</v>
      </c>
      <c r="AI294" s="59"/>
      <c r="AJ294" s="59"/>
      <c r="AK294" s="59"/>
      <c r="AL294" s="59"/>
      <c r="AM294" s="59"/>
      <c r="AN294" s="59"/>
      <c r="AO294" s="59"/>
      <c r="AP294" s="58"/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8"/>
      <c r="BB294" s="58"/>
      <c r="BC294" s="58"/>
      <c r="BD294" s="28"/>
      <c r="BE294" s="28"/>
      <c r="BF294" s="28"/>
      <c r="BG294" s="56">
        <f t="shared" si="5"/>
        <v>30</v>
      </c>
      <c r="BH294" s="42">
        <f t="shared" si="6"/>
        <v>25</v>
      </c>
      <c r="BI294" s="43">
        <f t="shared" si="7"/>
        <v>0.8333333333</v>
      </c>
      <c r="BJ294" s="44">
        <f t="shared" si="8"/>
        <v>4</v>
      </c>
      <c r="BK294" s="42">
        <f t="shared" si="9"/>
        <v>1</v>
      </c>
      <c r="BL294" s="28"/>
      <c r="BM294" s="28"/>
      <c r="BN294" s="28"/>
      <c r="BO294" s="28"/>
    </row>
    <row r="295">
      <c r="A295" s="14">
        <f t="shared" si="2"/>
        <v>292</v>
      </c>
      <c r="B295" s="86">
        <f t="shared" si="3"/>
        <v>46082</v>
      </c>
      <c r="C295" s="48">
        <v>46100.0</v>
      </c>
      <c r="D295" s="57">
        <f t="shared" si="4"/>
        <v>46100</v>
      </c>
      <c r="E295" s="59" t="s">
        <v>122</v>
      </c>
      <c r="F295" s="59" t="s">
        <v>122</v>
      </c>
      <c r="G295" s="59" t="s">
        <v>122</v>
      </c>
      <c r="H295" s="59" t="s">
        <v>122</v>
      </c>
      <c r="I295" s="59" t="s">
        <v>122</v>
      </c>
      <c r="J295" s="59" t="s">
        <v>122</v>
      </c>
      <c r="K295" s="59" t="s">
        <v>122</v>
      </c>
      <c r="L295" s="59" t="s">
        <v>122</v>
      </c>
      <c r="M295" s="59" t="s">
        <v>122</v>
      </c>
      <c r="N295" s="59" t="s">
        <v>122</v>
      </c>
      <c r="O295" s="59" t="s">
        <v>122</v>
      </c>
      <c r="P295" s="59" t="s">
        <v>122</v>
      </c>
      <c r="Q295" s="59" t="s">
        <v>122</v>
      </c>
      <c r="R295" s="59" t="s">
        <v>122</v>
      </c>
      <c r="S295" s="59" t="s">
        <v>122</v>
      </c>
      <c r="T295" s="59" t="s">
        <v>122</v>
      </c>
      <c r="U295" s="59" t="s">
        <v>122</v>
      </c>
      <c r="V295" s="59" t="s">
        <v>122</v>
      </c>
      <c r="W295" s="59" t="s">
        <v>122</v>
      </c>
      <c r="X295" s="59" t="s">
        <v>122</v>
      </c>
      <c r="Y295" s="59" t="s">
        <v>122</v>
      </c>
      <c r="Z295" s="59" t="s">
        <v>122</v>
      </c>
      <c r="AA295" s="59" t="s">
        <v>122</v>
      </c>
      <c r="AB295" s="59" t="s">
        <v>122</v>
      </c>
      <c r="AC295" s="59" t="s">
        <v>122</v>
      </c>
      <c r="AD295" s="59" t="s">
        <v>122</v>
      </c>
      <c r="AE295" s="59" t="s">
        <v>122</v>
      </c>
      <c r="AF295" s="59" t="s">
        <v>122</v>
      </c>
      <c r="AG295" s="59" t="s">
        <v>122</v>
      </c>
      <c r="AH295" s="59" t="s">
        <v>122</v>
      </c>
      <c r="AI295" s="59"/>
      <c r="AJ295" s="59"/>
      <c r="AK295" s="59"/>
      <c r="AL295" s="59"/>
      <c r="AM295" s="59"/>
      <c r="AN295" s="59"/>
      <c r="AO295" s="59"/>
      <c r="AP295" s="58"/>
      <c r="AQ295" s="58"/>
      <c r="AR295" s="58"/>
      <c r="AS295" s="58"/>
      <c r="AT295" s="58"/>
      <c r="AU295" s="58"/>
      <c r="AV295" s="58"/>
      <c r="AW295" s="58"/>
      <c r="AX295" s="58"/>
      <c r="AY295" s="58"/>
      <c r="AZ295" s="58"/>
      <c r="BA295" s="58"/>
      <c r="BB295" s="58"/>
      <c r="BC295" s="58"/>
      <c r="BD295" s="28"/>
      <c r="BE295" s="28"/>
      <c r="BF295" s="28"/>
      <c r="BG295" s="56">
        <f t="shared" si="5"/>
        <v>0</v>
      </c>
      <c r="BH295" s="42">
        <f t="shared" si="6"/>
        <v>0</v>
      </c>
      <c r="BI295" s="43" t="str">
        <f t="shared" si="7"/>
        <v>#DIV/0!</v>
      </c>
      <c r="BJ295" s="44">
        <f t="shared" si="8"/>
        <v>0</v>
      </c>
      <c r="BK295" s="42">
        <f t="shared" si="9"/>
        <v>0</v>
      </c>
      <c r="BL295" s="28"/>
      <c r="BM295" s="28"/>
      <c r="BN295" s="28"/>
      <c r="BO295" s="28"/>
    </row>
    <row r="296">
      <c r="A296" s="14">
        <f t="shared" si="2"/>
        <v>293</v>
      </c>
      <c r="B296" s="86">
        <f t="shared" si="3"/>
        <v>46082</v>
      </c>
      <c r="C296" s="48">
        <v>46101.0</v>
      </c>
      <c r="D296" s="57">
        <f t="shared" si="4"/>
        <v>46101</v>
      </c>
      <c r="E296" s="59" t="s">
        <v>120</v>
      </c>
      <c r="F296" s="59" t="s">
        <v>120</v>
      </c>
      <c r="G296" s="59" t="s">
        <v>121</v>
      </c>
      <c r="H296" s="59" t="s">
        <v>121</v>
      </c>
      <c r="I296" s="59" t="s">
        <v>120</v>
      </c>
      <c r="J296" s="59" t="s">
        <v>120</v>
      </c>
      <c r="K296" s="59" t="s">
        <v>120</v>
      </c>
      <c r="L296" s="59" t="s">
        <v>120</v>
      </c>
      <c r="M296" s="59" t="s">
        <v>121</v>
      </c>
      <c r="N296" s="59" t="s">
        <v>120</v>
      </c>
      <c r="O296" s="59" t="s">
        <v>120</v>
      </c>
      <c r="P296" s="59" t="s">
        <v>120</v>
      </c>
      <c r="Q296" s="59" t="s">
        <v>120</v>
      </c>
      <c r="R296" s="59" t="s">
        <v>120</v>
      </c>
      <c r="S296" s="59" t="s">
        <v>120</v>
      </c>
      <c r="T296" s="59" t="s">
        <v>120</v>
      </c>
      <c r="U296" s="59" t="s">
        <v>120</v>
      </c>
      <c r="V296" s="59" t="s">
        <v>120</v>
      </c>
      <c r="W296" s="59" t="s">
        <v>120</v>
      </c>
      <c r="X296" s="59" t="s">
        <v>120</v>
      </c>
      <c r="Y296" s="59" t="s">
        <v>121</v>
      </c>
      <c r="Z296" s="59" t="s">
        <v>120</v>
      </c>
      <c r="AA296" s="59" t="s">
        <v>120</v>
      </c>
      <c r="AB296" s="59" t="s">
        <v>92</v>
      </c>
      <c r="AC296" s="59" t="s">
        <v>121</v>
      </c>
      <c r="AD296" s="59" t="s">
        <v>120</v>
      </c>
      <c r="AE296" s="59" t="s">
        <v>120</v>
      </c>
      <c r="AF296" s="59" t="s">
        <v>121</v>
      </c>
      <c r="AG296" s="59" t="s">
        <v>121</v>
      </c>
      <c r="AH296" s="59" t="s">
        <v>121</v>
      </c>
      <c r="AI296" s="59"/>
      <c r="AJ296" s="59"/>
      <c r="AK296" s="59"/>
      <c r="AL296" s="59"/>
      <c r="AM296" s="59"/>
      <c r="AN296" s="59"/>
      <c r="AO296" s="59"/>
      <c r="AP296" s="58"/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8"/>
      <c r="BB296" s="58"/>
      <c r="BC296" s="58"/>
      <c r="BD296" s="28"/>
      <c r="BE296" s="28"/>
      <c r="BF296" s="28"/>
      <c r="BG296" s="56">
        <f t="shared" si="5"/>
        <v>30</v>
      </c>
      <c r="BH296" s="42">
        <f t="shared" si="6"/>
        <v>21</v>
      </c>
      <c r="BI296" s="43">
        <f t="shared" si="7"/>
        <v>0.7</v>
      </c>
      <c r="BJ296" s="44">
        <f t="shared" si="8"/>
        <v>8</v>
      </c>
      <c r="BK296" s="42">
        <f t="shared" si="9"/>
        <v>1</v>
      </c>
      <c r="BL296" s="28"/>
      <c r="BM296" s="28"/>
      <c r="BN296" s="28"/>
      <c r="BO296" s="28"/>
    </row>
    <row r="297">
      <c r="A297" s="14">
        <f t="shared" si="2"/>
        <v>294</v>
      </c>
      <c r="B297" s="86">
        <f t="shared" si="3"/>
        <v>46082</v>
      </c>
      <c r="C297" s="48">
        <v>46102.0</v>
      </c>
      <c r="D297" s="57">
        <f t="shared" si="4"/>
        <v>46102</v>
      </c>
      <c r="E297" s="59" t="s">
        <v>120</v>
      </c>
      <c r="F297" s="59" t="s">
        <v>120</v>
      </c>
      <c r="G297" s="59" t="s">
        <v>120</v>
      </c>
      <c r="H297" s="59" t="s">
        <v>121</v>
      </c>
      <c r="I297" s="59" t="s">
        <v>120</v>
      </c>
      <c r="J297" s="59" t="s">
        <v>120</v>
      </c>
      <c r="K297" s="59" t="s">
        <v>120</v>
      </c>
      <c r="L297" s="59" t="s">
        <v>120</v>
      </c>
      <c r="M297" s="59" t="s">
        <v>120</v>
      </c>
      <c r="N297" s="59" t="s">
        <v>120</v>
      </c>
      <c r="O297" s="59" t="s">
        <v>120</v>
      </c>
      <c r="P297" s="59" t="s">
        <v>120</v>
      </c>
      <c r="Q297" s="59" t="s">
        <v>120</v>
      </c>
      <c r="R297" s="59" t="s">
        <v>120</v>
      </c>
      <c r="S297" s="59" t="s">
        <v>121</v>
      </c>
      <c r="T297" s="59" t="s">
        <v>120</v>
      </c>
      <c r="U297" s="59" t="s">
        <v>121</v>
      </c>
      <c r="V297" s="59" t="s">
        <v>120</v>
      </c>
      <c r="W297" s="59" t="s">
        <v>120</v>
      </c>
      <c r="X297" s="59" t="s">
        <v>120</v>
      </c>
      <c r="Y297" s="59" t="s">
        <v>120</v>
      </c>
      <c r="Z297" s="59" t="s">
        <v>121</v>
      </c>
      <c r="AA297" s="59" t="s">
        <v>120</v>
      </c>
      <c r="AB297" s="59" t="s">
        <v>92</v>
      </c>
      <c r="AC297" s="59" t="s">
        <v>121</v>
      </c>
      <c r="AD297" s="59" t="s">
        <v>120</v>
      </c>
      <c r="AE297" s="59" t="s">
        <v>120</v>
      </c>
      <c r="AF297" s="59" t="s">
        <v>121</v>
      </c>
      <c r="AG297" s="59" t="s">
        <v>121</v>
      </c>
      <c r="AH297" s="59" t="s">
        <v>121</v>
      </c>
      <c r="AI297" s="60"/>
      <c r="AJ297" s="60"/>
      <c r="AK297" s="60"/>
      <c r="AL297" s="60"/>
      <c r="AM297" s="60"/>
      <c r="AN297" s="60"/>
      <c r="AO297" s="60"/>
      <c r="AP297" s="58"/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8"/>
      <c r="BB297" s="58"/>
      <c r="BC297" s="58"/>
      <c r="BD297" s="28"/>
      <c r="BE297" s="28"/>
      <c r="BF297" s="28"/>
      <c r="BG297" s="56">
        <f t="shared" si="5"/>
        <v>30</v>
      </c>
      <c r="BH297" s="42">
        <f t="shared" si="6"/>
        <v>21</v>
      </c>
      <c r="BI297" s="43">
        <f t="shared" si="7"/>
        <v>0.7</v>
      </c>
      <c r="BJ297" s="44">
        <f t="shared" si="8"/>
        <v>8</v>
      </c>
      <c r="BK297" s="42">
        <f t="shared" si="9"/>
        <v>1</v>
      </c>
      <c r="BL297" s="28"/>
      <c r="BM297" s="28"/>
      <c r="BN297" s="28"/>
      <c r="BO297" s="28"/>
    </row>
    <row r="298">
      <c r="A298" s="14">
        <f t="shared" si="2"/>
        <v>295</v>
      </c>
      <c r="B298" s="86">
        <f t="shared" si="3"/>
        <v>46082</v>
      </c>
      <c r="C298" s="48">
        <v>46103.0</v>
      </c>
      <c r="D298" s="49">
        <f t="shared" si="4"/>
        <v>46103</v>
      </c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0"/>
      <c r="AQ298" s="50"/>
      <c r="AR298" s="50"/>
      <c r="AS298" s="50"/>
      <c r="AT298" s="50"/>
      <c r="AU298" s="50"/>
      <c r="AV298" s="50"/>
      <c r="AW298" s="50"/>
      <c r="AX298" s="50"/>
      <c r="AY298" s="50"/>
      <c r="AZ298" s="50"/>
      <c r="BA298" s="50"/>
      <c r="BB298" s="50"/>
      <c r="BC298" s="50"/>
      <c r="BD298" s="78"/>
      <c r="BE298" s="78"/>
      <c r="BF298" s="78"/>
      <c r="BG298" s="56">
        <f t="shared" si="5"/>
        <v>0</v>
      </c>
      <c r="BH298" s="42">
        <f t="shared" si="6"/>
        <v>0</v>
      </c>
      <c r="BI298" s="43" t="str">
        <f t="shared" si="7"/>
        <v>#DIV/0!</v>
      </c>
      <c r="BJ298" s="44">
        <f t="shared" si="8"/>
        <v>0</v>
      </c>
      <c r="BK298" s="42">
        <f t="shared" si="9"/>
        <v>0</v>
      </c>
      <c r="BL298" s="28"/>
      <c r="BM298" s="28"/>
      <c r="BN298" s="28"/>
      <c r="BO298" s="28"/>
    </row>
    <row r="299">
      <c r="A299" s="14">
        <f t="shared" si="2"/>
        <v>296</v>
      </c>
      <c r="B299" s="86">
        <f t="shared" si="3"/>
        <v>46082</v>
      </c>
      <c r="C299" s="48">
        <v>46104.0</v>
      </c>
      <c r="D299" s="57">
        <f t="shared" si="4"/>
        <v>46104</v>
      </c>
      <c r="E299" s="59" t="s">
        <v>120</v>
      </c>
      <c r="F299" s="59" t="s">
        <v>120</v>
      </c>
      <c r="G299" s="59" t="s">
        <v>121</v>
      </c>
      <c r="H299" s="59" t="s">
        <v>121</v>
      </c>
      <c r="I299" s="59" t="s">
        <v>120</v>
      </c>
      <c r="J299" s="59" t="s">
        <v>120</v>
      </c>
      <c r="K299" s="59" t="s">
        <v>120</v>
      </c>
      <c r="L299" s="59" t="s">
        <v>121</v>
      </c>
      <c r="M299" s="59" t="s">
        <v>120</v>
      </c>
      <c r="N299" s="59" t="s">
        <v>120</v>
      </c>
      <c r="O299" s="59" t="s">
        <v>120</v>
      </c>
      <c r="P299" s="59" t="s">
        <v>120</v>
      </c>
      <c r="Q299" s="59" t="s">
        <v>121</v>
      </c>
      <c r="R299" s="59" t="s">
        <v>120</v>
      </c>
      <c r="S299" s="59" t="s">
        <v>121</v>
      </c>
      <c r="T299" s="59" t="s">
        <v>121</v>
      </c>
      <c r="U299" s="59" t="s">
        <v>121</v>
      </c>
      <c r="V299" s="59" t="s">
        <v>120</v>
      </c>
      <c r="W299" s="59" t="s">
        <v>120</v>
      </c>
      <c r="X299" s="59" t="s">
        <v>121</v>
      </c>
      <c r="Y299" s="59" t="s">
        <v>121</v>
      </c>
      <c r="Z299" s="59" t="s">
        <v>121</v>
      </c>
      <c r="AA299" s="59" t="s">
        <v>120</v>
      </c>
      <c r="AB299" s="59" t="s">
        <v>92</v>
      </c>
      <c r="AC299" s="59" t="s">
        <v>120</v>
      </c>
      <c r="AD299" s="59" t="s">
        <v>121</v>
      </c>
      <c r="AE299" s="59" t="s">
        <v>120</v>
      </c>
      <c r="AF299" s="59" t="s">
        <v>120</v>
      </c>
      <c r="AG299" s="59" t="s">
        <v>120</v>
      </c>
      <c r="AH299" s="59" t="s">
        <v>120</v>
      </c>
      <c r="AI299" s="59"/>
      <c r="AJ299" s="59"/>
      <c r="AK299" s="59"/>
      <c r="AL299" s="59"/>
      <c r="AM299" s="59"/>
      <c r="AN299" s="59"/>
      <c r="AO299" s="59"/>
      <c r="AP299" s="58"/>
      <c r="AQ299" s="58"/>
      <c r="AR299" s="58"/>
      <c r="AS299" s="58"/>
      <c r="AT299" s="58"/>
      <c r="AU299" s="58"/>
      <c r="AV299" s="58"/>
      <c r="AW299" s="58"/>
      <c r="AX299" s="58"/>
      <c r="AY299" s="58"/>
      <c r="AZ299" s="58"/>
      <c r="BA299" s="58"/>
      <c r="BB299" s="58"/>
      <c r="BC299" s="58"/>
      <c r="BD299" s="28"/>
      <c r="BE299" s="28"/>
      <c r="BF299" s="28"/>
      <c r="BG299" s="56">
        <f t="shared" si="5"/>
        <v>30</v>
      </c>
      <c r="BH299" s="42">
        <f t="shared" si="6"/>
        <v>18</v>
      </c>
      <c r="BI299" s="43">
        <f t="shared" si="7"/>
        <v>0.6</v>
      </c>
      <c r="BJ299" s="44">
        <f t="shared" si="8"/>
        <v>11</v>
      </c>
      <c r="BK299" s="42">
        <f t="shared" si="9"/>
        <v>1</v>
      </c>
      <c r="BL299" s="28"/>
      <c r="BM299" s="28"/>
      <c r="BN299" s="28"/>
      <c r="BO299" s="28"/>
    </row>
    <row r="300">
      <c r="A300" s="14">
        <f t="shared" si="2"/>
        <v>297</v>
      </c>
      <c r="B300" s="86">
        <f t="shared" si="3"/>
        <v>46082</v>
      </c>
      <c r="C300" s="48">
        <v>46105.0</v>
      </c>
      <c r="D300" s="57">
        <f t="shared" si="4"/>
        <v>46105</v>
      </c>
      <c r="E300" s="59" t="s">
        <v>121</v>
      </c>
      <c r="F300" s="59" t="s">
        <v>120</v>
      </c>
      <c r="G300" s="59" t="s">
        <v>121</v>
      </c>
      <c r="H300" s="59" t="s">
        <v>121</v>
      </c>
      <c r="I300" s="59" t="s">
        <v>120</v>
      </c>
      <c r="J300" s="59" t="s">
        <v>120</v>
      </c>
      <c r="K300" s="59" t="s">
        <v>120</v>
      </c>
      <c r="L300" s="59" t="s">
        <v>120</v>
      </c>
      <c r="M300" s="59" t="s">
        <v>120</v>
      </c>
      <c r="N300" s="59" t="s">
        <v>120</v>
      </c>
      <c r="O300" s="59" t="s">
        <v>120</v>
      </c>
      <c r="P300" s="59" t="s">
        <v>120</v>
      </c>
      <c r="Q300" s="59" t="s">
        <v>120</v>
      </c>
      <c r="R300" s="59" t="s">
        <v>121</v>
      </c>
      <c r="S300" s="59" t="s">
        <v>120</v>
      </c>
      <c r="T300" s="59" t="s">
        <v>120</v>
      </c>
      <c r="U300" s="59" t="s">
        <v>120</v>
      </c>
      <c r="V300" s="59" t="s">
        <v>120</v>
      </c>
      <c r="W300" s="59" t="s">
        <v>120</v>
      </c>
      <c r="X300" s="59" t="s">
        <v>120</v>
      </c>
      <c r="Y300" s="59" t="s">
        <v>121</v>
      </c>
      <c r="Z300" s="59" t="s">
        <v>120</v>
      </c>
      <c r="AA300" s="59" t="s">
        <v>120</v>
      </c>
      <c r="AB300" s="59" t="s">
        <v>92</v>
      </c>
      <c r="AC300" s="59" t="s">
        <v>121</v>
      </c>
      <c r="AD300" s="59" t="s">
        <v>120</v>
      </c>
      <c r="AE300" s="59" t="s">
        <v>120</v>
      </c>
      <c r="AF300" s="59" t="s">
        <v>120</v>
      </c>
      <c r="AG300" s="59" t="s">
        <v>120</v>
      </c>
      <c r="AH300" s="59" t="s">
        <v>120</v>
      </c>
      <c r="AI300" s="59"/>
      <c r="AJ300" s="59"/>
      <c r="AK300" s="59"/>
      <c r="AL300" s="59"/>
      <c r="AM300" s="59"/>
      <c r="AN300" s="59"/>
      <c r="AO300" s="59"/>
      <c r="AP300" s="58"/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8"/>
      <c r="BB300" s="58"/>
      <c r="BC300" s="58"/>
      <c r="BD300" s="28"/>
      <c r="BE300" s="28"/>
      <c r="BF300" s="28"/>
      <c r="BG300" s="56">
        <f t="shared" si="5"/>
        <v>30</v>
      </c>
      <c r="BH300" s="42">
        <f t="shared" si="6"/>
        <v>23</v>
      </c>
      <c r="BI300" s="43">
        <f t="shared" si="7"/>
        <v>0.7666666667</v>
      </c>
      <c r="BJ300" s="44">
        <f t="shared" si="8"/>
        <v>6</v>
      </c>
      <c r="BK300" s="42">
        <f t="shared" si="9"/>
        <v>1</v>
      </c>
      <c r="BL300" s="28"/>
      <c r="BM300" s="28"/>
      <c r="BN300" s="28"/>
      <c r="BO300" s="28"/>
    </row>
    <row r="301">
      <c r="A301" s="14">
        <f t="shared" si="2"/>
        <v>298</v>
      </c>
      <c r="B301" s="86">
        <f t="shared" si="3"/>
        <v>46082</v>
      </c>
      <c r="C301" s="48">
        <v>46106.0</v>
      </c>
      <c r="D301" s="57">
        <f t="shared" si="4"/>
        <v>46106</v>
      </c>
      <c r="E301" s="59" t="s">
        <v>120</v>
      </c>
      <c r="F301" s="59" t="s">
        <v>120</v>
      </c>
      <c r="G301" s="59" t="s">
        <v>120</v>
      </c>
      <c r="H301" s="59" t="s">
        <v>120</v>
      </c>
      <c r="I301" s="59" t="s">
        <v>120</v>
      </c>
      <c r="J301" s="59" t="s">
        <v>120</v>
      </c>
      <c r="K301" s="59" t="s">
        <v>120</v>
      </c>
      <c r="L301" s="59" t="s">
        <v>120</v>
      </c>
      <c r="M301" s="59" t="s">
        <v>120</v>
      </c>
      <c r="N301" s="59" t="s">
        <v>120</v>
      </c>
      <c r="O301" s="59" t="s">
        <v>120</v>
      </c>
      <c r="P301" s="59" t="s">
        <v>121</v>
      </c>
      <c r="Q301" s="59" t="s">
        <v>120</v>
      </c>
      <c r="R301" s="59" t="s">
        <v>120</v>
      </c>
      <c r="S301" s="59" t="s">
        <v>121</v>
      </c>
      <c r="T301" s="59" t="s">
        <v>120</v>
      </c>
      <c r="U301" s="59" t="s">
        <v>120</v>
      </c>
      <c r="V301" s="59" t="s">
        <v>120</v>
      </c>
      <c r="W301" s="59" t="s">
        <v>120</v>
      </c>
      <c r="X301" s="59" t="s">
        <v>120</v>
      </c>
      <c r="Y301" s="59" t="s">
        <v>120</v>
      </c>
      <c r="Z301" s="59" t="s">
        <v>120</v>
      </c>
      <c r="AA301" s="59" t="s">
        <v>120</v>
      </c>
      <c r="AB301" s="59" t="s">
        <v>92</v>
      </c>
      <c r="AC301" s="59" t="s">
        <v>120</v>
      </c>
      <c r="AD301" s="59" t="s">
        <v>120</v>
      </c>
      <c r="AE301" s="59" t="s">
        <v>120</v>
      </c>
      <c r="AF301" s="59" t="s">
        <v>121</v>
      </c>
      <c r="AG301" s="59" t="s">
        <v>121</v>
      </c>
      <c r="AH301" s="59" t="s">
        <v>121</v>
      </c>
      <c r="AI301" s="59"/>
      <c r="AJ301" s="59"/>
      <c r="AK301" s="59"/>
      <c r="AL301" s="59"/>
      <c r="AM301" s="59"/>
      <c r="AN301" s="59"/>
      <c r="AO301" s="59"/>
      <c r="AP301" s="58"/>
      <c r="AQ301" s="58"/>
      <c r="AR301" s="58"/>
      <c r="AS301" s="58"/>
      <c r="AT301" s="58"/>
      <c r="AU301" s="58"/>
      <c r="AV301" s="58"/>
      <c r="AW301" s="58"/>
      <c r="AX301" s="58"/>
      <c r="AY301" s="58"/>
      <c r="AZ301" s="58"/>
      <c r="BA301" s="58"/>
      <c r="BB301" s="58"/>
      <c r="BC301" s="58"/>
      <c r="BD301" s="28"/>
      <c r="BE301" s="28"/>
      <c r="BF301" s="28"/>
      <c r="BG301" s="56">
        <f t="shared" si="5"/>
        <v>30</v>
      </c>
      <c r="BH301" s="42">
        <f t="shared" si="6"/>
        <v>24</v>
      </c>
      <c r="BI301" s="43">
        <f t="shared" si="7"/>
        <v>0.8</v>
      </c>
      <c r="BJ301" s="44">
        <f t="shared" si="8"/>
        <v>5</v>
      </c>
      <c r="BK301" s="42">
        <f t="shared" si="9"/>
        <v>1</v>
      </c>
      <c r="BL301" s="28"/>
      <c r="BM301" s="28"/>
      <c r="BN301" s="28"/>
      <c r="BO301" s="28"/>
    </row>
    <row r="302">
      <c r="A302" s="14">
        <f t="shared" si="2"/>
        <v>299</v>
      </c>
      <c r="B302" s="86">
        <f t="shared" si="3"/>
        <v>46082</v>
      </c>
      <c r="C302" s="48">
        <v>46107.0</v>
      </c>
      <c r="D302" s="57">
        <f t="shared" si="4"/>
        <v>46107</v>
      </c>
      <c r="E302" s="59" t="s">
        <v>121</v>
      </c>
      <c r="F302" s="59" t="s">
        <v>120</v>
      </c>
      <c r="G302" s="59" t="s">
        <v>120</v>
      </c>
      <c r="H302" s="59" t="s">
        <v>120</v>
      </c>
      <c r="I302" s="59" t="s">
        <v>120</v>
      </c>
      <c r="J302" s="59" t="s">
        <v>120</v>
      </c>
      <c r="K302" s="59" t="s">
        <v>120</v>
      </c>
      <c r="L302" s="59" t="s">
        <v>120</v>
      </c>
      <c r="M302" s="59" t="s">
        <v>120</v>
      </c>
      <c r="N302" s="59" t="s">
        <v>120</v>
      </c>
      <c r="O302" s="59" t="s">
        <v>120</v>
      </c>
      <c r="P302" s="59" t="s">
        <v>120</v>
      </c>
      <c r="Q302" s="59" t="s">
        <v>120</v>
      </c>
      <c r="R302" s="59" t="s">
        <v>120</v>
      </c>
      <c r="S302" s="59" t="s">
        <v>121</v>
      </c>
      <c r="T302" s="59" t="s">
        <v>121</v>
      </c>
      <c r="U302" s="59" t="s">
        <v>121</v>
      </c>
      <c r="V302" s="59" t="s">
        <v>121</v>
      </c>
      <c r="W302" s="59" t="s">
        <v>120</v>
      </c>
      <c r="X302" s="59" t="s">
        <v>120</v>
      </c>
      <c r="Y302" s="59" t="s">
        <v>121</v>
      </c>
      <c r="Z302" s="59" t="s">
        <v>121</v>
      </c>
      <c r="AA302" s="59" t="s">
        <v>121</v>
      </c>
      <c r="AB302" s="59" t="s">
        <v>92</v>
      </c>
      <c r="AC302" s="59" t="s">
        <v>121</v>
      </c>
      <c r="AD302" s="59" t="s">
        <v>120</v>
      </c>
      <c r="AE302" s="59" t="s">
        <v>120</v>
      </c>
      <c r="AF302" s="59" t="s">
        <v>120</v>
      </c>
      <c r="AG302" s="59" t="s">
        <v>120</v>
      </c>
      <c r="AH302" s="59" t="s">
        <v>120</v>
      </c>
      <c r="AI302" s="59"/>
      <c r="AJ302" s="59"/>
      <c r="AK302" s="59"/>
      <c r="AL302" s="59"/>
      <c r="AM302" s="59"/>
      <c r="AN302" s="59"/>
      <c r="AO302" s="59"/>
      <c r="AP302" s="58"/>
      <c r="AQ302" s="58"/>
      <c r="AR302" s="58"/>
      <c r="AS302" s="58"/>
      <c r="AT302" s="58"/>
      <c r="AU302" s="58"/>
      <c r="AV302" s="58"/>
      <c r="AW302" s="58"/>
      <c r="AX302" s="58"/>
      <c r="AY302" s="58"/>
      <c r="AZ302" s="58"/>
      <c r="BA302" s="58"/>
      <c r="BB302" s="58"/>
      <c r="BC302" s="58"/>
      <c r="BD302" s="28"/>
      <c r="BE302" s="28"/>
      <c r="BF302" s="28"/>
      <c r="BG302" s="56">
        <f t="shared" si="5"/>
        <v>30</v>
      </c>
      <c r="BH302" s="42">
        <f t="shared" si="6"/>
        <v>20</v>
      </c>
      <c r="BI302" s="43">
        <f t="shared" si="7"/>
        <v>0.6666666667</v>
      </c>
      <c r="BJ302" s="44">
        <f t="shared" si="8"/>
        <v>9</v>
      </c>
      <c r="BK302" s="42">
        <f t="shared" si="9"/>
        <v>1</v>
      </c>
      <c r="BL302" s="28"/>
      <c r="BM302" s="28"/>
      <c r="BN302" s="28"/>
      <c r="BO302" s="28"/>
    </row>
    <row r="303">
      <c r="A303" s="14">
        <f t="shared" si="2"/>
        <v>300</v>
      </c>
      <c r="B303" s="86">
        <f t="shared" si="3"/>
        <v>46082</v>
      </c>
      <c r="C303" s="48">
        <v>46108.0</v>
      </c>
      <c r="D303" s="57">
        <f t="shared" si="4"/>
        <v>46108</v>
      </c>
      <c r="E303" s="59" t="s">
        <v>121</v>
      </c>
      <c r="F303" s="59" t="s">
        <v>121</v>
      </c>
      <c r="G303" s="59" t="s">
        <v>121</v>
      </c>
      <c r="H303" s="59" t="s">
        <v>121</v>
      </c>
      <c r="I303" s="59" t="s">
        <v>120</v>
      </c>
      <c r="J303" s="59" t="s">
        <v>120</v>
      </c>
      <c r="K303" s="59" t="s">
        <v>120</v>
      </c>
      <c r="L303" s="59" t="s">
        <v>120</v>
      </c>
      <c r="M303" s="59" t="s">
        <v>121</v>
      </c>
      <c r="N303" s="59" t="s">
        <v>120</v>
      </c>
      <c r="O303" s="59" t="s">
        <v>120</v>
      </c>
      <c r="P303" s="59" t="s">
        <v>120</v>
      </c>
      <c r="Q303" s="59" t="s">
        <v>120</v>
      </c>
      <c r="R303" s="59" t="s">
        <v>120</v>
      </c>
      <c r="S303" s="59" t="s">
        <v>121</v>
      </c>
      <c r="T303" s="59" t="s">
        <v>121</v>
      </c>
      <c r="U303" s="59" t="s">
        <v>121</v>
      </c>
      <c r="V303" s="59" t="s">
        <v>120</v>
      </c>
      <c r="W303" s="59" t="s">
        <v>120</v>
      </c>
      <c r="X303" s="59" t="s">
        <v>120</v>
      </c>
      <c r="Y303" s="59" t="s">
        <v>121</v>
      </c>
      <c r="Z303" s="59" t="s">
        <v>121</v>
      </c>
      <c r="AA303" s="59" t="s">
        <v>120</v>
      </c>
      <c r="AB303" s="59" t="s">
        <v>92</v>
      </c>
      <c r="AC303" s="59" t="s">
        <v>120</v>
      </c>
      <c r="AD303" s="59" t="s">
        <v>120</v>
      </c>
      <c r="AE303" s="59" t="s">
        <v>120</v>
      </c>
      <c r="AF303" s="59" t="s">
        <v>121</v>
      </c>
      <c r="AG303" s="59" t="s">
        <v>121</v>
      </c>
      <c r="AH303" s="59" t="s">
        <v>121</v>
      </c>
      <c r="AI303" s="59"/>
      <c r="AJ303" s="59"/>
      <c r="AK303" s="59"/>
      <c r="AL303" s="59"/>
      <c r="AM303" s="59"/>
      <c r="AN303" s="59"/>
      <c r="AO303" s="59"/>
      <c r="AP303" s="58"/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8"/>
      <c r="BB303" s="58"/>
      <c r="BC303" s="58"/>
      <c r="BD303" s="28"/>
      <c r="BE303" s="28"/>
      <c r="BF303" s="28"/>
      <c r="BG303" s="56">
        <f t="shared" si="5"/>
        <v>30</v>
      </c>
      <c r="BH303" s="42">
        <f t="shared" si="6"/>
        <v>16</v>
      </c>
      <c r="BI303" s="43">
        <f t="shared" si="7"/>
        <v>0.5333333333</v>
      </c>
      <c r="BJ303" s="44">
        <f t="shared" si="8"/>
        <v>13</v>
      </c>
      <c r="BK303" s="42">
        <f t="shared" si="9"/>
        <v>1</v>
      </c>
      <c r="BL303" s="28"/>
      <c r="BM303" s="28"/>
      <c r="BN303" s="28"/>
      <c r="BO303" s="28"/>
    </row>
    <row r="304">
      <c r="A304" s="14">
        <f t="shared" si="2"/>
        <v>301</v>
      </c>
      <c r="B304" s="86">
        <f t="shared" si="3"/>
        <v>46082</v>
      </c>
      <c r="C304" s="48">
        <v>46109.0</v>
      </c>
      <c r="D304" s="57">
        <f t="shared" si="4"/>
        <v>46109</v>
      </c>
      <c r="E304" s="59" t="s">
        <v>120</v>
      </c>
      <c r="F304" s="59" t="s">
        <v>120</v>
      </c>
      <c r="G304" s="59" t="s">
        <v>121</v>
      </c>
      <c r="H304" s="59" t="s">
        <v>121</v>
      </c>
      <c r="I304" s="59" t="s">
        <v>120</v>
      </c>
      <c r="J304" s="59" t="s">
        <v>120</v>
      </c>
      <c r="K304" s="59" t="s">
        <v>120</v>
      </c>
      <c r="L304" s="59" t="s">
        <v>121</v>
      </c>
      <c r="M304" s="59" t="s">
        <v>121</v>
      </c>
      <c r="N304" s="59" t="s">
        <v>120</v>
      </c>
      <c r="O304" s="59" t="s">
        <v>120</v>
      </c>
      <c r="P304" s="59" t="s">
        <v>120</v>
      </c>
      <c r="Q304" s="59" t="s">
        <v>120</v>
      </c>
      <c r="R304" s="59" t="s">
        <v>121</v>
      </c>
      <c r="S304" s="59" t="s">
        <v>121</v>
      </c>
      <c r="T304" s="59" t="s">
        <v>121</v>
      </c>
      <c r="U304" s="59" t="s">
        <v>120</v>
      </c>
      <c r="V304" s="59" t="s">
        <v>120</v>
      </c>
      <c r="W304" s="59" t="s">
        <v>120</v>
      </c>
      <c r="X304" s="59" t="s">
        <v>120</v>
      </c>
      <c r="Y304" s="59" t="s">
        <v>121</v>
      </c>
      <c r="Z304" s="59" t="s">
        <v>120</v>
      </c>
      <c r="AA304" s="59" t="s">
        <v>120</v>
      </c>
      <c r="AB304" s="59" t="s">
        <v>92</v>
      </c>
      <c r="AC304" s="59" t="s">
        <v>120</v>
      </c>
      <c r="AD304" s="59" t="s">
        <v>121</v>
      </c>
      <c r="AE304" s="59" t="s">
        <v>120</v>
      </c>
      <c r="AF304" s="59" t="s">
        <v>120</v>
      </c>
      <c r="AG304" s="59" t="s">
        <v>120</v>
      </c>
      <c r="AH304" s="59" t="s">
        <v>120</v>
      </c>
      <c r="AI304" s="60"/>
      <c r="AJ304" s="60"/>
      <c r="AK304" s="60"/>
      <c r="AL304" s="60"/>
      <c r="AM304" s="60"/>
      <c r="AN304" s="60"/>
      <c r="AO304" s="60"/>
      <c r="AP304" s="58"/>
      <c r="AQ304" s="58"/>
      <c r="AR304" s="58"/>
      <c r="AS304" s="58"/>
      <c r="AT304" s="58"/>
      <c r="AU304" s="58"/>
      <c r="AV304" s="58"/>
      <c r="AW304" s="58"/>
      <c r="AX304" s="58"/>
      <c r="AY304" s="58"/>
      <c r="AZ304" s="58"/>
      <c r="BA304" s="58"/>
      <c r="BB304" s="58"/>
      <c r="BC304" s="58"/>
      <c r="BD304" s="28"/>
      <c r="BE304" s="28"/>
      <c r="BF304" s="28"/>
      <c r="BG304" s="56">
        <f t="shared" si="5"/>
        <v>30</v>
      </c>
      <c r="BH304" s="42">
        <f t="shared" si="6"/>
        <v>20</v>
      </c>
      <c r="BI304" s="43">
        <f t="shared" si="7"/>
        <v>0.6666666667</v>
      </c>
      <c r="BJ304" s="44">
        <f t="shared" si="8"/>
        <v>9</v>
      </c>
      <c r="BK304" s="42">
        <f t="shared" si="9"/>
        <v>1</v>
      </c>
      <c r="BL304" s="28"/>
      <c r="BM304" s="28"/>
      <c r="BN304" s="28"/>
      <c r="BO304" s="28"/>
    </row>
    <row r="305">
      <c r="A305" s="14">
        <f t="shared" si="2"/>
        <v>302</v>
      </c>
      <c r="B305" s="86">
        <f t="shared" si="3"/>
        <v>46082</v>
      </c>
      <c r="C305" s="48">
        <v>46110.0</v>
      </c>
      <c r="D305" s="49">
        <f t="shared" si="4"/>
        <v>46110</v>
      </c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0"/>
      <c r="BC305" s="50"/>
      <c r="BD305" s="78"/>
      <c r="BE305" s="78"/>
      <c r="BF305" s="78"/>
      <c r="BG305" s="56">
        <f t="shared" si="5"/>
        <v>0</v>
      </c>
      <c r="BH305" s="42">
        <f t="shared" si="6"/>
        <v>0</v>
      </c>
      <c r="BI305" s="43" t="str">
        <f t="shared" si="7"/>
        <v>#DIV/0!</v>
      </c>
      <c r="BJ305" s="44">
        <f t="shared" si="8"/>
        <v>0</v>
      </c>
      <c r="BK305" s="42">
        <f t="shared" si="9"/>
        <v>0</v>
      </c>
      <c r="BL305" s="28"/>
      <c r="BM305" s="28"/>
      <c r="BN305" s="28"/>
      <c r="BO305" s="28"/>
    </row>
    <row r="306">
      <c r="A306" s="14">
        <f t="shared" si="2"/>
        <v>303</v>
      </c>
      <c r="B306" s="86">
        <f t="shared" si="3"/>
        <v>46082</v>
      </c>
      <c r="C306" s="48">
        <v>46111.0</v>
      </c>
      <c r="D306" s="57">
        <f t="shared" si="4"/>
        <v>46111</v>
      </c>
      <c r="E306" s="59" t="s">
        <v>120</v>
      </c>
      <c r="F306" s="59" t="s">
        <v>120</v>
      </c>
      <c r="G306" s="59" t="s">
        <v>121</v>
      </c>
      <c r="H306" s="59" t="s">
        <v>121</v>
      </c>
      <c r="I306" s="59" t="s">
        <v>120</v>
      </c>
      <c r="J306" s="59" t="s">
        <v>120</v>
      </c>
      <c r="K306" s="59" t="s">
        <v>120</v>
      </c>
      <c r="L306" s="59" t="s">
        <v>121</v>
      </c>
      <c r="M306" s="59" t="s">
        <v>121</v>
      </c>
      <c r="N306" s="59" t="s">
        <v>120</v>
      </c>
      <c r="O306" s="59" t="s">
        <v>120</v>
      </c>
      <c r="P306" s="59" t="s">
        <v>120</v>
      </c>
      <c r="Q306" s="59" t="s">
        <v>120</v>
      </c>
      <c r="R306" s="59" t="s">
        <v>121</v>
      </c>
      <c r="S306" s="59" t="s">
        <v>120</v>
      </c>
      <c r="T306" s="59" t="s">
        <v>121</v>
      </c>
      <c r="U306" s="59" t="s">
        <v>120</v>
      </c>
      <c r="V306" s="59" t="s">
        <v>120</v>
      </c>
      <c r="W306" s="59" t="s">
        <v>120</v>
      </c>
      <c r="X306" s="59" t="s">
        <v>120</v>
      </c>
      <c r="Y306" s="59" t="s">
        <v>121</v>
      </c>
      <c r="Z306" s="59" t="s">
        <v>120</v>
      </c>
      <c r="AA306" s="59" t="s">
        <v>120</v>
      </c>
      <c r="AB306" s="59" t="s">
        <v>92</v>
      </c>
      <c r="AC306" s="59" t="s">
        <v>121</v>
      </c>
      <c r="AD306" s="59" t="s">
        <v>121</v>
      </c>
      <c r="AE306" s="59" t="s">
        <v>120</v>
      </c>
      <c r="AF306" s="59" t="s">
        <v>120</v>
      </c>
      <c r="AG306" s="59" t="s">
        <v>120</v>
      </c>
      <c r="AH306" s="59" t="s">
        <v>120</v>
      </c>
      <c r="AI306" s="59"/>
      <c r="AJ306" s="59"/>
      <c r="AK306" s="59"/>
      <c r="AL306" s="59"/>
      <c r="AM306" s="59"/>
      <c r="AN306" s="59"/>
      <c r="AO306" s="59"/>
      <c r="AP306" s="58"/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8"/>
      <c r="BB306" s="58"/>
      <c r="BC306" s="58"/>
      <c r="BD306" s="28"/>
      <c r="BE306" s="28"/>
      <c r="BF306" s="28"/>
      <c r="BG306" s="56">
        <f t="shared" si="5"/>
        <v>30</v>
      </c>
      <c r="BH306" s="42">
        <f t="shared" si="6"/>
        <v>20</v>
      </c>
      <c r="BI306" s="43">
        <f t="shared" si="7"/>
        <v>0.6666666667</v>
      </c>
      <c r="BJ306" s="44">
        <f t="shared" si="8"/>
        <v>9</v>
      </c>
      <c r="BK306" s="42">
        <f t="shared" si="9"/>
        <v>1</v>
      </c>
      <c r="BL306" s="28"/>
      <c r="BM306" s="28"/>
      <c r="BN306" s="28"/>
      <c r="BO306" s="28"/>
    </row>
    <row r="307">
      <c r="A307" s="14">
        <f t="shared" si="2"/>
        <v>304</v>
      </c>
      <c r="B307" s="86">
        <f t="shared" si="3"/>
        <v>46082</v>
      </c>
      <c r="C307" s="48">
        <v>46112.0</v>
      </c>
      <c r="D307" s="57">
        <f t="shared" si="4"/>
        <v>46112</v>
      </c>
      <c r="E307" s="59" t="s">
        <v>121</v>
      </c>
      <c r="F307" s="59" t="s">
        <v>120</v>
      </c>
      <c r="G307" s="59" t="s">
        <v>121</v>
      </c>
      <c r="H307" s="59" t="s">
        <v>121</v>
      </c>
      <c r="I307" s="59" t="s">
        <v>120</v>
      </c>
      <c r="J307" s="59" t="s">
        <v>120</v>
      </c>
      <c r="K307" s="59" t="s">
        <v>120</v>
      </c>
      <c r="L307" s="59" t="s">
        <v>120</v>
      </c>
      <c r="M307" s="59" t="s">
        <v>121</v>
      </c>
      <c r="N307" s="59" t="s">
        <v>120</v>
      </c>
      <c r="O307" s="59" t="s">
        <v>120</v>
      </c>
      <c r="P307" s="59" t="s">
        <v>120</v>
      </c>
      <c r="Q307" s="59" t="s">
        <v>120</v>
      </c>
      <c r="R307" s="59" t="s">
        <v>120</v>
      </c>
      <c r="S307" s="59" t="s">
        <v>120</v>
      </c>
      <c r="T307" s="59" t="s">
        <v>121</v>
      </c>
      <c r="U307" s="59" t="s">
        <v>120</v>
      </c>
      <c r="V307" s="59" t="s">
        <v>120</v>
      </c>
      <c r="W307" s="59" t="s">
        <v>120</v>
      </c>
      <c r="X307" s="59" t="s">
        <v>120</v>
      </c>
      <c r="Y307" s="59" t="s">
        <v>121</v>
      </c>
      <c r="Z307" s="59" t="s">
        <v>120</v>
      </c>
      <c r="AA307" s="59" t="s">
        <v>120</v>
      </c>
      <c r="AB307" s="59" t="s">
        <v>92</v>
      </c>
      <c r="AC307" s="59" t="s">
        <v>121</v>
      </c>
      <c r="AD307" s="59" t="s">
        <v>120</v>
      </c>
      <c r="AE307" s="59" t="s">
        <v>120</v>
      </c>
      <c r="AF307" s="59" t="s">
        <v>121</v>
      </c>
      <c r="AG307" s="59" t="s">
        <v>121</v>
      </c>
      <c r="AH307" s="59" t="s">
        <v>121</v>
      </c>
      <c r="AI307" s="59"/>
      <c r="AJ307" s="59"/>
      <c r="AK307" s="59"/>
      <c r="AL307" s="59"/>
      <c r="AM307" s="59"/>
      <c r="AN307" s="59"/>
      <c r="AO307" s="59"/>
      <c r="AP307" s="58"/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8"/>
      <c r="BB307" s="58"/>
      <c r="BC307" s="58"/>
      <c r="BD307" s="28"/>
      <c r="BE307" s="28"/>
      <c r="BF307" s="28"/>
      <c r="BG307" s="56">
        <f t="shared" si="5"/>
        <v>30</v>
      </c>
      <c r="BH307" s="42">
        <f t="shared" si="6"/>
        <v>19</v>
      </c>
      <c r="BI307" s="43">
        <f t="shared" si="7"/>
        <v>0.6333333333</v>
      </c>
      <c r="BJ307" s="44">
        <f t="shared" si="8"/>
        <v>10</v>
      </c>
      <c r="BK307" s="42">
        <f t="shared" si="9"/>
        <v>1</v>
      </c>
      <c r="BL307" s="28"/>
      <c r="BM307" s="28"/>
      <c r="BN307" s="28"/>
      <c r="BO307" s="28"/>
    </row>
    <row r="308">
      <c r="A308" s="14">
        <f t="shared" si="2"/>
        <v>305</v>
      </c>
      <c r="B308" s="87">
        <f t="shared" si="3"/>
        <v>46113</v>
      </c>
      <c r="C308" s="48">
        <v>46113.0</v>
      </c>
      <c r="D308" s="57">
        <f t="shared" si="4"/>
        <v>46113</v>
      </c>
      <c r="E308" s="59" t="s">
        <v>120</v>
      </c>
      <c r="F308" s="59" t="s">
        <v>120</v>
      </c>
      <c r="G308" s="59" t="s">
        <v>121</v>
      </c>
      <c r="H308" s="59" t="s">
        <v>121</v>
      </c>
      <c r="I308" s="59" t="s">
        <v>120</v>
      </c>
      <c r="J308" s="59" t="s">
        <v>121</v>
      </c>
      <c r="K308" s="59" t="s">
        <v>120</v>
      </c>
      <c r="L308" s="59" t="s">
        <v>121</v>
      </c>
      <c r="M308" s="59" t="s">
        <v>120</v>
      </c>
      <c r="N308" s="59" t="s">
        <v>120</v>
      </c>
      <c r="O308" s="59" t="s">
        <v>120</v>
      </c>
      <c r="P308" s="59" t="s">
        <v>120</v>
      </c>
      <c r="Q308" s="59" t="s">
        <v>120</v>
      </c>
      <c r="R308" s="59" t="s">
        <v>121</v>
      </c>
      <c r="S308" s="59" t="s">
        <v>120</v>
      </c>
      <c r="T308" s="59" t="s">
        <v>121</v>
      </c>
      <c r="U308" s="59" t="s">
        <v>120</v>
      </c>
      <c r="V308" s="59" t="s">
        <v>120</v>
      </c>
      <c r="W308" s="59" t="s">
        <v>120</v>
      </c>
      <c r="X308" s="59" t="s">
        <v>120</v>
      </c>
      <c r="Y308" s="59" t="s">
        <v>121</v>
      </c>
      <c r="Z308" s="59" t="s">
        <v>121</v>
      </c>
      <c r="AA308" s="59" t="s">
        <v>120</v>
      </c>
      <c r="AB308" s="59" t="s">
        <v>92</v>
      </c>
      <c r="AC308" s="59" t="s">
        <v>121</v>
      </c>
      <c r="AD308" s="59" t="s">
        <v>121</v>
      </c>
      <c r="AE308" s="59" t="s">
        <v>120</v>
      </c>
      <c r="AF308" s="59" t="s">
        <v>120</v>
      </c>
      <c r="AG308" s="59" t="s">
        <v>120</v>
      </c>
      <c r="AH308" s="59" t="s">
        <v>120</v>
      </c>
      <c r="AI308" s="59"/>
      <c r="AJ308" s="59"/>
      <c r="AK308" s="59"/>
      <c r="AL308" s="59"/>
      <c r="AM308" s="59"/>
      <c r="AN308" s="59"/>
      <c r="AO308" s="59"/>
      <c r="AP308" s="58"/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8"/>
      <c r="BB308" s="58"/>
      <c r="BC308" s="58"/>
      <c r="BD308" s="28"/>
      <c r="BE308" s="28"/>
      <c r="BF308" s="28"/>
      <c r="BG308" s="56">
        <f t="shared" si="5"/>
        <v>30</v>
      </c>
      <c r="BH308" s="42">
        <f t="shared" si="6"/>
        <v>19</v>
      </c>
      <c r="BI308" s="43">
        <f t="shared" si="7"/>
        <v>0.6333333333</v>
      </c>
      <c r="BJ308" s="44">
        <f t="shared" si="8"/>
        <v>10</v>
      </c>
      <c r="BK308" s="42">
        <f t="shared" si="9"/>
        <v>1</v>
      </c>
      <c r="BL308" s="28"/>
      <c r="BM308" s="28"/>
      <c r="BN308" s="28"/>
      <c r="BO308" s="28"/>
    </row>
    <row r="309">
      <c r="A309" s="14">
        <f t="shared" si="2"/>
        <v>306</v>
      </c>
      <c r="B309" s="87">
        <f t="shared" si="3"/>
        <v>46113</v>
      </c>
      <c r="C309" s="48">
        <v>46114.0</v>
      </c>
      <c r="D309" s="57">
        <f t="shared" si="4"/>
        <v>46114</v>
      </c>
      <c r="E309" s="59" t="s">
        <v>121</v>
      </c>
      <c r="F309" s="59" t="s">
        <v>120</v>
      </c>
      <c r="G309" s="59" t="s">
        <v>121</v>
      </c>
      <c r="H309" s="59" t="s">
        <v>121</v>
      </c>
      <c r="I309" s="59" t="s">
        <v>120</v>
      </c>
      <c r="J309" s="59" t="s">
        <v>120</v>
      </c>
      <c r="K309" s="59" t="s">
        <v>120</v>
      </c>
      <c r="L309" s="59" t="s">
        <v>121</v>
      </c>
      <c r="M309" s="59" t="s">
        <v>120</v>
      </c>
      <c r="N309" s="59" t="s">
        <v>120</v>
      </c>
      <c r="O309" s="59" t="s">
        <v>120</v>
      </c>
      <c r="P309" s="59" t="s">
        <v>120</v>
      </c>
      <c r="Q309" s="59" t="s">
        <v>120</v>
      </c>
      <c r="R309" s="59" t="s">
        <v>120</v>
      </c>
      <c r="S309" s="59" t="s">
        <v>120</v>
      </c>
      <c r="T309" s="59" t="s">
        <v>121</v>
      </c>
      <c r="U309" s="59" t="s">
        <v>120</v>
      </c>
      <c r="V309" s="59" t="s">
        <v>120</v>
      </c>
      <c r="W309" s="59" t="s">
        <v>120</v>
      </c>
      <c r="X309" s="59" t="s">
        <v>120</v>
      </c>
      <c r="Y309" s="59" t="s">
        <v>121</v>
      </c>
      <c r="Z309" s="59" t="s">
        <v>120</v>
      </c>
      <c r="AA309" s="59" t="s">
        <v>120</v>
      </c>
      <c r="AB309" s="59" t="s">
        <v>92</v>
      </c>
      <c r="AC309" s="59" t="s">
        <v>121</v>
      </c>
      <c r="AD309" s="59" t="s">
        <v>121</v>
      </c>
      <c r="AE309" s="59" t="s">
        <v>120</v>
      </c>
      <c r="AF309" s="59" t="s">
        <v>120</v>
      </c>
      <c r="AG309" s="59" t="s">
        <v>120</v>
      </c>
      <c r="AH309" s="59" t="s">
        <v>120</v>
      </c>
      <c r="AI309" s="59"/>
      <c r="AJ309" s="59"/>
      <c r="AK309" s="59"/>
      <c r="AL309" s="59"/>
      <c r="AM309" s="59"/>
      <c r="AN309" s="59"/>
      <c r="AO309" s="59"/>
      <c r="AP309" s="58"/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8"/>
      <c r="BB309" s="58"/>
      <c r="BC309" s="58"/>
      <c r="BD309" s="28"/>
      <c r="BE309" s="28"/>
      <c r="BF309" s="28"/>
      <c r="BG309" s="56">
        <f t="shared" si="5"/>
        <v>30</v>
      </c>
      <c r="BH309" s="42">
        <f t="shared" si="6"/>
        <v>21</v>
      </c>
      <c r="BI309" s="43">
        <f t="shared" si="7"/>
        <v>0.7</v>
      </c>
      <c r="BJ309" s="44">
        <f t="shared" si="8"/>
        <v>8</v>
      </c>
      <c r="BK309" s="42">
        <f t="shared" si="9"/>
        <v>1</v>
      </c>
      <c r="BL309" s="28"/>
      <c r="BM309" s="28"/>
      <c r="BN309" s="28"/>
      <c r="BO309" s="28"/>
    </row>
    <row r="310">
      <c r="A310" s="14">
        <f t="shared" si="2"/>
        <v>307</v>
      </c>
      <c r="B310" s="87">
        <f t="shared" si="3"/>
        <v>46113</v>
      </c>
      <c r="C310" s="48">
        <v>46115.0</v>
      </c>
      <c r="D310" s="57">
        <f t="shared" si="4"/>
        <v>46115</v>
      </c>
      <c r="E310" s="59" t="s">
        <v>121</v>
      </c>
      <c r="F310" s="59" t="s">
        <v>120</v>
      </c>
      <c r="G310" s="59" t="s">
        <v>121</v>
      </c>
      <c r="H310" s="59" t="s">
        <v>121</v>
      </c>
      <c r="I310" s="59" t="s">
        <v>121</v>
      </c>
      <c r="J310" s="59" t="s">
        <v>121</v>
      </c>
      <c r="K310" s="59" t="s">
        <v>120</v>
      </c>
      <c r="L310" s="59" t="s">
        <v>120</v>
      </c>
      <c r="M310" s="59" t="s">
        <v>120</v>
      </c>
      <c r="N310" s="59" t="s">
        <v>120</v>
      </c>
      <c r="O310" s="59" t="s">
        <v>120</v>
      </c>
      <c r="P310" s="59" t="s">
        <v>120</v>
      </c>
      <c r="Q310" s="59" t="s">
        <v>120</v>
      </c>
      <c r="R310" s="59" t="s">
        <v>120</v>
      </c>
      <c r="S310" s="59" t="s">
        <v>120</v>
      </c>
      <c r="T310" s="59" t="s">
        <v>121</v>
      </c>
      <c r="U310" s="59" t="s">
        <v>120</v>
      </c>
      <c r="V310" s="59" t="s">
        <v>120</v>
      </c>
      <c r="W310" s="59" t="s">
        <v>120</v>
      </c>
      <c r="X310" s="59" t="s">
        <v>120</v>
      </c>
      <c r="Y310" s="59" t="s">
        <v>121</v>
      </c>
      <c r="Z310" s="59" t="s">
        <v>121</v>
      </c>
      <c r="AA310" s="59" t="s">
        <v>120</v>
      </c>
      <c r="AB310" s="59" t="s">
        <v>92</v>
      </c>
      <c r="AC310" s="59" t="s">
        <v>121</v>
      </c>
      <c r="AD310" s="59" t="s">
        <v>120</v>
      </c>
      <c r="AE310" s="59" t="s">
        <v>120</v>
      </c>
      <c r="AF310" s="59" t="s">
        <v>120</v>
      </c>
      <c r="AG310" s="59" t="s">
        <v>120</v>
      </c>
      <c r="AH310" s="59" t="s">
        <v>120</v>
      </c>
      <c r="AI310" s="59"/>
      <c r="AJ310" s="59"/>
      <c r="AK310" s="59"/>
      <c r="AL310" s="59"/>
      <c r="AM310" s="59"/>
      <c r="AN310" s="59"/>
      <c r="AO310" s="59"/>
      <c r="AP310" s="58"/>
      <c r="AQ310" s="58"/>
      <c r="AR310" s="58"/>
      <c r="AS310" s="58"/>
      <c r="AT310" s="58"/>
      <c r="AU310" s="58"/>
      <c r="AV310" s="58"/>
      <c r="AW310" s="58"/>
      <c r="AX310" s="58"/>
      <c r="AY310" s="58"/>
      <c r="AZ310" s="58"/>
      <c r="BA310" s="58"/>
      <c r="BB310" s="58"/>
      <c r="BC310" s="58"/>
      <c r="BD310" s="28"/>
      <c r="BE310" s="28"/>
      <c r="BF310" s="28"/>
      <c r="BG310" s="56">
        <f t="shared" si="5"/>
        <v>30</v>
      </c>
      <c r="BH310" s="42">
        <f t="shared" si="6"/>
        <v>20</v>
      </c>
      <c r="BI310" s="43">
        <f t="shared" si="7"/>
        <v>0.6666666667</v>
      </c>
      <c r="BJ310" s="44">
        <f t="shared" si="8"/>
        <v>9</v>
      </c>
      <c r="BK310" s="42">
        <f t="shared" si="9"/>
        <v>1</v>
      </c>
      <c r="BL310" s="28"/>
      <c r="BM310" s="28"/>
      <c r="BN310" s="28"/>
      <c r="BO310" s="28"/>
    </row>
    <row r="311">
      <c r="A311" s="14">
        <f t="shared" si="2"/>
        <v>308</v>
      </c>
      <c r="B311" s="87">
        <f t="shared" si="3"/>
        <v>46113</v>
      </c>
      <c r="C311" s="48">
        <v>46116.0</v>
      </c>
      <c r="D311" s="57">
        <f t="shared" si="4"/>
        <v>46116</v>
      </c>
      <c r="E311" s="59" t="s">
        <v>120</v>
      </c>
      <c r="F311" s="59" t="s">
        <v>120</v>
      </c>
      <c r="G311" s="59" t="s">
        <v>121</v>
      </c>
      <c r="H311" s="59" t="s">
        <v>121</v>
      </c>
      <c r="I311" s="59" t="s">
        <v>121</v>
      </c>
      <c r="J311" s="59" t="s">
        <v>120</v>
      </c>
      <c r="K311" s="59" t="s">
        <v>120</v>
      </c>
      <c r="L311" s="59" t="s">
        <v>121</v>
      </c>
      <c r="M311" s="59" t="s">
        <v>120</v>
      </c>
      <c r="N311" s="59" t="s">
        <v>120</v>
      </c>
      <c r="O311" s="59" t="s">
        <v>120</v>
      </c>
      <c r="P311" s="59" t="s">
        <v>120</v>
      </c>
      <c r="Q311" s="59" t="s">
        <v>120</v>
      </c>
      <c r="R311" s="59" t="s">
        <v>121</v>
      </c>
      <c r="S311" s="59" t="s">
        <v>120</v>
      </c>
      <c r="T311" s="59" t="s">
        <v>121</v>
      </c>
      <c r="U311" s="59" t="s">
        <v>120</v>
      </c>
      <c r="V311" s="59" t="s">
        <v>120</v>
      </c>
      <c r="W311" s="59" t="s">
        <v>120</v>
      </c>
      <c r="X311" s="59" t="s">
        <v>120</v>
      </c>
      <c r="Y311" s="59" t="s">
        <v>121</v>
      </c>
      <c r="Z311" s="59" t="s">
        <v>120</v>
      </c>
      <c r="AA311" s="59" t="s">
        <v>120</v>
      </c>
      <c r="AB311" s="59" t="s">
        <v>92</v>
      </c>
      <c r="AC311" s="59" t="s">
        <v>121</v>
      </c>
      <c r="AD311" s="59" t="s">
        <v>121</v>
      </c>
      <c r="AE311" s="59" t="s">
        <v>120</v>
      </c>
      <c r="AF311" s="59" t="s">
        <v>121</v>
      </c>
      <c r="AG311" s="59" t="s">
        <v>121</v>
      </c>
      <c r="AH311" s="59" t="s">
        <v>121</v>
      </c>
      <c r="AI311" s="60"/>
      <c r="AJ311" s="60"/>
      <c r="AK311" s="60"/>
      <c r="AL311" s="60"/>
      <c r="AM311" s="60"/>
      <c r="AN311" s="60"/>
      <c r="AO311" s="60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28"/>
      <c r="BE311" s="28"/>
      <c r="BF311" s="28"/>
      <c r="BG311" s="56">
        <f t="shared" si="5"/>
        <v>30</v>
      </c>
      <c r="BH311" s="42">
        <f t="shared" si="6"/>
        <v>17</v>
      </c>
      <c r="BI311" s="43">
        <f t="shared" si="7"/>
        <v>0.5666666667</v>
      </c>
      <c r="BJ311" s="44">
        <f t="shared" si="8"/>
        <v>12</v>
      </c>
      <c r="BK311" s="42">
        <f t="shared" si="9"/>
        <v>1</v>
      </c>
      <c r="BL311" s="28"/>
      <c r="BM311" s="28"/>
      <c r="BN311" s="28"/>
      <c r="BO311" s="28"/>
    </row>
    <row r="312">
      <c r="A312" s="14">
        <f t="shared" si="2"/>
        <v>309</v>
      </c>
      <c r="B312" s="87">
        <f t="shared" si="3"/>
        <v>46113</v>
      </c>
      <c r="C312" s="48">
        <v>46117.0</v>
      </c>
      <c r="D312" s="49">
        <f t="shared" si="4"/>
        <v>46117</v>
      </c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0"/>
      <c r="AQ312" s="50"/>
      <c r="AR312" s="50"/>
      <c r="AS312" s="50"/>
      <c r="AT312" s="50"/>
      <c r="AU312" s="50"/>
      <c r="AV312" s="50"/>
      <c r="AW312" s="50"/>
      <c r="AX312" s="50"/>
      <c r="AY312" s="50"/>
      <c r="AZ312" s="50"/>
      <c r="BA312" s="50"/>
      <c r="BB312" s="50"/>
      <c r="BC312" s="50"/>
      <c r="BD312" s="78"/>
      <c r="BE312" s="78"/>
      <c r="BF312" s="78"/>
      <c r="BG312" s="56">
        <f t="shared" si="5"/>
        <v>0</v>
      </c>
      <c r="BH312" s="42">
        <f t="shared" si="6"/>
        <v>0</v>
      </c>
      <c r="BI312" s="43" t="str">
        <f t="shared" si="7"/>
        <v>#DIV/0!</v>
      </c>
      <c r="BJ312" s="44">
        <f t="shared" si="8"/>
        <v>0</v>
      </c>
      <c r="BK312" s="42">
        <f t="shared" si="9"/>
        <v>0</v>
      </c>
      <c r="BL312" s="28"/>
      <c r="BM312" s="28"/>
      <c r="BN312" s="28"/>
      <c r="BO312" s="28"/>
    </row>
    <row r="313">
      <c r="A313" s="14">
        <f t="shared" si="2"/>
        <v>310</v>
      </c>
      <c r="B313" s="87">
        <f t="shared" si="3"/>
        <v>46113</v>
      </c>
      <c r="C313" s="48">
        <v>46118.0</v>
      </c>
      <c r="D313" s="57">
        <f t="shared" si="4"/>
        <v>46118</v>
      </c>
      <c r="E313" s="59" t="s">
        <v>121</v>
      </c>
      <c r="F313" s="59" t="s">
        <v>120</v>
      </c>
      <c r="G313" s="59" t="s">
        <v>121</v>
      </c>
      <c r="H313" s="59" t="s">
        <v>121</v>
      </c>
      <c r="I313" s="59" t="s">
        <v>121</v>
      </c>
      <c r="J313" s="59" t="s">
        <v>120</v>
      </c>
      <c r="K313" s="59" t="s">
        <v>120</v>
      </c>
      <c r="L313" s="59" t="s">
        <v>121</v>
      </c>
      <c r="M313" s="59" t="s">
        <v>121</v>
      </c>
      <c r="N313" s="59" t="s">
        <v>120</v>
      </c>
      <c r="O313" s="59" t="s">
        <v>120</v>
      </c>
      <c r="P313" s="59" t="s">
        <v>120</v>
      </c>
      <c r="Q313" s="59" t="s">
        <v>120</v>
      </c>
      <c r="R313" s="59" t="s">
        <v>120</v>
      </c>
      <c r="S313" s="59" t="s">
        <v>120</v>
      </c>
      <c r="T313" s="59" t="s">
        <v>121</v>
      </c>
      <c r="U313" s="59" t="s">
        <v>120</v>
      </c>
      <c r="V313" s="59" t="s">
        <v>120</v>
      </c>
      <c r="W313" s="59" t="s">
        <v>120</v>
      </c>
      <c r="X313" s="59" t="s">
        <v>120</v>
      </c>
      <c r="Y313" s="59" t="s">
        <v>121</v>
      </c>
      <c r="Z313" s="59" t="s">
        <v>121</v>
      </c>
      <c r="AA313" s="59" t="s">
        <v>120</v>
      </c>
      <c r="AB313" s="59" t="s">
        <v>92</v>
      </c>
      <c r="AC313" s="59" t="s">
        <v>120</v>
      </c>
      <c r="AD313" s="59" t="s">
        <v>121</v>
      </c>
      <c r="AE313" s="59" t="s">
        <v>120</v>
      </c>
      <c r="AF313" s="59" t="s">
        <v>120</v>
      </c>
      <c r="AG313" s="59" t="s">
        <v>120</v>
      </c>
      <c r="AH313" s="59" t="s">
        <v>120</v>
      </c>
      <c r="AI313" s="59"/>
      <c r="AJ313" s="59"/>
      <c r="AK313" s="59"/>
      <c r="AL313" s="59"/>
      <c r="AM313" s="59"/>
      <c r="AN313" s="59"/>
      <c r="AO313" s="59"/>
      <c r="AP313" s="58"/>
      <c r="AQ313" s="58"/>
      <c r="AR313" s="58"/>
      <c r="AS313" s="58"/>
      <c r="AT313" s="58"/>
      <c r="AU313" s="58"/>
      <c r="AV313" s="58"/>
      <c r="AW313" s="58"/>
      <c r="AX313" s="58"/>
      <c r="AY313" s="58"/>
      <c r="AZ313" s="58"/>
      <c r="BA313" s="58"/>
      <c r="BB313" s="58"/>
      <c r="BC313" s="58"/>
      <c r="BD313" s="28"/>
      <c r="BE313" s="28"/>
      <c r="BF313" s="28"/>
      <c r="BG313" s="56">
        <f t="shared" si="5"/>
        <v>30</v>
      </c>
      <c r="BH313" s="42">
        <f t="shared" si="6"/>
        <v>19</v>
      </c>
      <c r="BI313" s="43">
        <f t="shared" si="7"/>
        <v>0.6333333333</v>
      </c>
      <c r="BJ313" s="44">
        <f t="shared" si="8"/>
        <v>10</v>
      </c>
      <c r="BK313" s="42">
        <f t="shared" si="9"/>
        <v>1</v>
      </c>
      <c r="BL313" s="28"/>
      <c r="BM313" s="28"/>
      <c r="BN313" s="28"/>
      <c r="BO313" s="28"/>
    </row>
    <row r="314">
      <c r="A314" s="14">
        <f t="shared" si="2"/>
        <v>311</v>
      </c>
      <c r="B314" s="87">
        <f t="shared" si="3"/>
        <v>46113</v>
      </c>
      <c r="C314" s="48">
        <v>46119.0</v>
      </c>
      <c r="D314" s="57">
        <f t="shared" si="4"/>
        <v>46119</v>
      </c>
      <c r="E314" s="59" t="s">
        <v>121</v>
      </c>
      <c r="F314" s="59" t="s">
        <v>120</v>
      </c>
      <c r="G314" s="59" t="s">
        <v>121</v>
      </c>
      <c r="H314" s="59" t="s">
        <v>121</v>
      </c>
      <c r="I314" s="59" t="s">
        <v>121</v>
      </c>
      <c r="J314" s="88" t="s">
        <v>120</v>
      </c>
      <c r="K314" s="59" t="s">
        <v>120</v>
      </c>
      <c r="L314" s="59" t="s">
        <v>120</v>
      </c>
      <c r="M314" s="59" t="s">
        <v>121</v>
      </c>
      <c r="N314" s="59" t="s">
        <v>120</v>
      </c>
      <c r="O314" s="59" t="s">
        <v>120</v>
      </c>
      <c r="P314" s="59" t="s">
        <v>120</v>
      </c>
      <c r="Q314" s="59" t="s">
        <v>120</v>
      </c>
      <c r="R314" s="59" t="s">
        <v>121</v>
      </c>
      <c r="S314" s="59" t="s">
        <v>121</v>
      </c>
      <c r="T314" s="59" t="s">
        <v>121</v>
      </c>
      <c r="U314" s="59" t="s">
        <v>121</v>
      </c>
      <c r="V314" s="59" t="s">
        <v>120</v>
      </c>
      <c r="W314" s="59" t="s">
        <v>120</v>
      </c>
      <c r="X314" s="59" t="s">
        <v>120</v>
      </c>
      <c r="Y314" s="59" t="s">
        <v>121</v>
      </c>
      <c r="Z314" s="59" t="s">
        <v>121</v>
      </c>
      <c r="AA314" s="59" t="s">
        <v>120</v>
      </c>
      <c r="AB314" s="59" t="s">
        <v>92</v>
      </c>
      <c r="AC314" s="59" t="s">
        <v>121</v>
      </c>
      <c r="AD314" s="59" t="s">
        <v>120</v>
      </c>
      <c r="AE314" s="59" t="s">
        <v>120</v>
      </c>
      <c r="AF314" s="59" t="s">
        <v>120</v>
      </c>
      <c r="AG314" s="59" t="s">
        <v>120</v>
      </c>
      <c r="AH314" s="59" t="s">
        <v>120</v>
      </c>
      <c r="AI314" s="59"/>
      <c r="AJ314" s="59"/>
      <c r="AK314" s="59"/>
      <c r="AL314" s="59"/>
      <c r="AM314" s="59"/>
      <c r="AN314" s="59"/>
      <c r="AO314" s="59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28"/>
      <c r="BE314" s="28"/>
      <c r="BF314" s="28"/>
      <c r="BG314" s="56">
        <f t="shared" si="5"/>
        <v>30</v>
      </c>
      <c r="BH314" s="42">
        <f t="shared" si="6"/>
        <v>17</v>
      </c>
      <c r="BI314" s="43">
        <f t="shared" si="7"/>
        <v>0.5666666667</v>
      </c>
      <c r="BJ314" s="44">
        <f t="shared" si="8"/>
        <v>12</v>
      </c>
      <c r="BK314" s="42">
        <f t="shared" si="9"/>
        <v>1</v>
      </c>
      <c r="BL314" s="28"/>
      <c r="BM314" s="28"/>
      <c r="BN314" s="28"/>
      <c r="BO314" s="28"/>
    </row>
    <row r="315">
      <c r="A315" s="14">
        <f t="shared" si="2"/>
        <v>312</v>
      </c>
      <c r="B315" s="87">
        <f t="shared" si="3"/>
        <v>46113</v>
      </c>
      <c r="C315" s="48">
        <v>46120.0</v>
      </c>
      <c r="D315" s="57">
        <f t="shared" si="4"/>
        <v>46120</v>
      </c>
      <c r="E315" s="59" t="s">
        <v>120</v>
      </c>
      <c r="F315" s="59" t="s">
        <v>120</v>
      </c>
      <c r="G315" s="59" t="s">
        <v>121</v>
      </c>
      <c r="H315" s="59" t="s">
        <v>121</v>
      </c>
      <c r="I315" s="59" t="s">
        <v>121</v>
      </c>
      <c r="J315" s="59" t="s">
        <v>120</v>
      </c>
      <c r="K315" s="59" t="s">
        <v>120</v>
      </c>
      <c r="L315" s="59" t="s">
        <v>121</v>
      </c>
      <c r="M315" s="59" t="s">
        <v>121</v>
      </c>
      <c r="N315" s="59" t="s">
        <v>120</v>
      </c>
      <c r="O315" s="59" t="s">
        <v>120</v>
      </c>
      <c r="P315" s="59" t="s">
        <v>120</v>
      </c>
      <c r="Q315" s="59" t="s">
        <v>120</v>
      </c>
      <c r="R315" s="59" t="s">
        <v>120</v>
      </c>
      <c r="S315" s="59" t="s">
        <v>120</v>
      </c>
      <c r="T315" s="59" t="s">
        <v>121</v>
      </c>
      <c r="U315" s="59" t="s">
        <v>120</v>
      </c>
      <c r="V315" s="59" t="s">
        <v>120</v>
      </c>
      <c r="W315" s="59" t="s">
        <v>120</v>
      </c>
      <c r="X315" s="59" t="s">
        <v>120</v>
      </c>
      <c r="Y315" s="59" t="s">
        <v>121</v>
      </c>
      <c r="Z315" s="59" t="s">
        <v>121</v>
      </c>
      <c r="AA315" s="59" t="s">
        <v>120</v>
      </c>
      <c r="AB315" s="59" t="s">
        <v>92</v>
      </c>
      <c r="AC315" s="59" t="s">
        <v>121</v>
      </c>
      <c r="AD315" s="59" t="s">
        <v>121</v>
      </c>
      <c r="AE315" s="59" t="s">
        <v>120</v>
      </c>
      <c r="AF315" s="59" t="s">
        <v>120</v>
      </c>
      <c r="AG315" s="59" t="s">
        <v>120</v>
      </c>
      <c r="AH315" s="59" t="s">
        <v>120</v>
      </c>
      <c r="AI315" s="59"/>
      <c r="AJ315" s="59"/>
      <c r="AK315" s="59"/>
      <c r="AL315" s="59"/>
      <c r="AM315" s="59"/>
      <c r="AN315" s="59"/>
      <c r="AO315" s="59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28"/>
      <c r="BE315" s="28"/>
      <c r="BF315" s="28"/>
      <c r="BG315" s="56">
        <f t="shared" si="5"/>
        <v>30</v>
      </c>
      <c r="BH315" s="42">
        <f t="shared" si="6"/>
        <v>19</v>
      </c>
      <c r="BI315" s="43">
        <f t="shared" si="7"/>
        <v>0.6333333333</v>
      </c>
      <c r="BJ315" s="44">
        <f t="shared" si="8"/>
        <v>10</v>
      </c>
      <c r="BK315" s="42">
        <f t="shared" si="9"/>
        <v>1</v>
      </c>
      <c r="BL315" s="28"/>
      <c r="BM315" s="28"/>
      <c r="BN315" s="28"/>
      <c r="BO315" s="28"/>
    </row>
    <row r="316">
      <c r="A316" s="14">
        <f t="shared" si="2"/>
        <v>313</v>
      </c>
      <c r="B316" s="87">
        <f t="shared" si="3"/>
        <v>46113</v>
      </c>
      <c r="C316" s="48">
        <v>46121.0</v>
      </c>
      <c r="D316" s="57">
        <f t="shared" si="4"/>
        <v>46121</v>
      </c>
      <c r="E316" s="59" t="s">
        <v>121</v>
      </c>
      <c r="F316" s="59" t="s">
        <v>120</v>
      </c>
      <c r="G316" s="59" t="s">
        <v>121</v>
      </c>
      <c r="H316" s="59" t="s">
        <v>121</v>
      </c>
      <c r="I316" s="59" t="s">
        <v>121</v>
      </c>
      <c r="J316" s="59" t="s">
        <v>121</v>
      </c>
      <c r="K316" s="59" t="s">
        <v>120</v>
      </c>
      <c r="L316" s="59" t="s">
        <v>121</v>
      </c>
      <c r="M316" s="59" t="s">
        <v>120</v>
      </c>
      <c r="N316" s="59" t="s">
        <v>120</v>
      </c>
      <c r="O316" s="59" t="s">
        <v>120</v>
      </c>
      <c r="P316" s="59" t="s">
        <v>120</v>
      </c>
      <c r="Q316" s="59" t="s">
        <v>121</v>
      </c>
      <c r="R316" s="59" t="s">
        <v>120</v>
      </c>
      <c r="S316" s="59" t="s">
        <v>121</v>
      </c>
      <c r="T316" s="59" t="s">
        <v>121</v>
      </c>
      <c r="U316" s="59" t="s">
        <v>121</v>
      </c>
      <c r="V316" s="59" t="s">
        <v>120</v>
      </c>
      <c r="W316" s="59" t="s">
        <v>120</v>
      </c>
      <c r="X316" s="59" t="s">
        <v>120</v>
      </c>
      <c r="Y316" s="59" t="s">
        <v>121</v>
      </c>
      <c r="Z316" s="59" t="s">
        <v>121</v>
      </c>
      <c r="AA316" s="59" t="s">
        <v>120</v>
      </c>
      <c r="AB316" s="59" t="s">
        <v>92</v>
      </c>
      <c r="AC316" s="59" t="s">
        <v>121</v>
      </c>
      <c r="AD316" s="59" t="s">
        <v>121</v>
      </c>
      <c r="AE316" s="59" t="s">
        <v>120</v>
      </c>
      <c r="AF316" s="59" t="s">
        <v>121</v>
      </c>
      <c r="AG316" s="59" t="s">
        <v>121</v>
      </c>
      <c r="AH316" s="59" t="s">
        <v>121</v>
      </c>
      <c r="AI316" s="59"/>
      <c r="AJ316" s="59"/>
      <c r="AK316" s="59"/>
      <c r="AL316" s="59"/>
      <c r="AM316" s="59"/>
      <c r="AN316" s="59"/>
      <c r="AO316" s="59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28"/>
      <c r="BE316" s="28"/>
      <c r="BF316" s="28"/>
      <c r="BG316" s="56">
        <f t="shared" si="5"/>
        <v>30</v>
      </c>
      <c r="BH316" s="42">
        <f t="shared" si="6"/>
        <v>12</v>
      </c>
      <c r="BI316" s="43">
        <f t="shared" si="7"/>
        <v>0.4</v>
      </c>
      <c r="BJ316" s="44">
        <f t="shared" si="8"/>
        <v>17</v>
      </c>
      <c r="BK316" s="42">
        <f t="shared" si="9"/>
        <v>1</v>
      </c>
      <c r="BL316" s="28"/>
      <c r="BM316" s="28"/>
      <c r="BN316" s="28"/>
      <c r="BO316" s="28"/>
    </row>
    <row r="317">
      <c r="A317" s="14">
        <f t="shared" si="2"/>
        <v>314</v>
      </c>
      <c r="B317" s="87">
        <f t="shared" si="3"/>
        <v>46113</v>
      </c>
      <c r="C317" s="48">
        <v>46122.0</v>
      </c>
      <c r="D317" s="57">
        <f t="shared" si="4"/>
        <v>46122</v>
      </c>
      <c r="E317" s="59" t="s">
        <v>120</v>
      </c>
      <c r="F317" s="59" t="s">
        <v>120</v>
      </c>
      <c r="G317" s="59" t="s">
        <v>121</v>
      </c>
      <c r="H317" s="59" t="s">
        <v>121</v>
      </c>
      <c r="I317" s="59" t="s">
        <v>121</v>
      </c>
      <c r="J317" s="59" t="s">
        <v>121</v>
      </c>
      <c r="K317" s="59" t="s">
        <v>120</v>
      </c>
      <c r="L317" s="59" t="s">
        <v>120</v>
      </c>
      <c r="M317" s="59" t="s">
        <v>121</v>
      </c>
      <c r="N317" s="59" t="s">
        <v>120</v>
      </c>
      <c r="O317" s="59" t="s">
        <v>120</v>
      </c>
      <c r="P317" s="59" t="s">
        <v>120</v>
      </c>
      <c r="Q317" s="59" t="s">
        <v>120</v>
      </c>
      <c r="R317" s="59" t="s">
        <v>120</v>
      </c>
      <c r="S317" s="59" t="s">
        <v>120</v>
      </c>
      <c r="T317" s="59" t="s">
        <v>121</v>
      </c>
      <c r="U317" s="59" t="s">
        <v>120</v>
      </c>
      <c r="V317" s="59" t="s">
        <v>120</v>
      </c>
      <c r="W317" s="59" t="s">
        <v>120</v>
      </c>
      <c r="X317" s="59" t="s">
        <v>121</v>
      </c>
      <c r="Y317" s="59" t="s">
        <v>121</v>
      </c>
      <c r="Z317" s="59" t="s">
        <v>121</v>
      </c>
      <c r="AA317" s="59" t="s">
        <v>120</v>
      </c>
      <c r="AB317" s="59" t="s">
        <v>92</v>
      </c>
      <c r="AC317" s="59" t="s">
        <v>121</v>
      </c>
      <c r="AD317" s="59" t="s">
        <v>121</v>
      </c>
      <c r="AE317" s="59" t="s">
        <v>120</v>
      </c>
      <c r="AF317" s="59" t="s">
        <v>120</v>
      </c>
      <c r="AG317" s="59" t="s">
        <v>120</v>
      </c>
      <c r="AH317" s="59" t="s">
        <v>120</v>
      </c>
      <c r="AI317" s="59"/>
      <c r="AJ317" s="59"/>
      <c r="AK317" s="59"/>
      <c r="AL317" s="59"/>
      <c r="AM317" s="59"/>
      <c r="AN317" s="59"/>
      <c r="AO317" s="59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28"/>
      <c r="BE317" s="28"/>
      <c r="BF317" s="28"/>
      <c r="BG317" s="56">
        <f t="shared" si="5"/>
        <v>30</v>
      </c>
      <c r="BH317" s="42">
        <f t="shared" si="6"/>
        <v>18</v>
      </c>
      <c r="BI317" s="43">
        <f t="shared" si="7"/>
        <v>0.6</v>
      </c>
      <c r="BJ317" s="44">
        <f t="shared" si="8"/>
        <v>11</v>
      </c>
      <c r="BK317" s="42">
        <f t="shared" si="9"/>
        <v>1</v>
      </c>
      <c r="BL317" s="28"/>
      <c r="BM317" s="28"/>
      <c r="BN317" s="28"/>
      <c r="BO317" s="28"/>
    </row>
    <row r="318">
      <c r="A318" s="14">
        <f t="shared" si="2"/>
        <v>315</v>
      </c>
      <c r="B318" s="87">
        <f t="shared" si="3"/>
        <v>46113</v>
      </c>
      <c r="C318" s="48">
        <v>46123.0</v>
      </c>
      <c r="D318" s="57">
        <f t="shared" si="4"/>
        <v>46123</v>
      </c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28"/>
      <c r="BE318" s="28"/>
      <c r="BF318" s="28"/>
      <c r="BG318" s="56">
        <f t="shared" si="5"/>
        <v>0</v>
      </c>
      <c r="BH318" s="42">
        <f t="shared" si="6"/>
        <v>0</v>
      </c>
      <c r="BI318" s="43" t="str">
        <f t="shared" si="7"/>
        <v>#DIV/0!</v>
      </c>
      <c r="BJ318" s="44">
        <f t="shared" si="8"/>
        <v>0</v>
      </c>
      <c r="BK318" s="42">
        <f t="shared" si="9"/>
        <v>0</v>
      </c>
      <c r="BL318" s="28"/>
      <c r="BM318" s="28"/>
      <c r="BN318" s="28"/>
      <c r="BO318" s="28"/>
    </row>
    <row r="319">
      <c r="A319" s="14">
        <f t="shared" si="2"/>
        <v>316</v>
      </c>
      <c r="B319" s="87">
        <f t="shared" si="3"/>
        <v>46113</v>
      </c>
      <c r="C319" s="48">
        <v>46124.0</v>
      </c>
      <c r="D319" s="49">
        <f t="shared" si="4"/>
        <v>46124</v>
      </c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0"/>
      <c r="AQ319" s="50"/>
      <c r="AR319" s="50"/>
      <c r="AS319" s="50"/>
      <c r="AT319" s="50"/>
      <c r="AU319" s="50"/>
      <c r="AV319" s="50"/>
      <c r="AW319" s="50"/>
      <c r="AX319" s="50"/>
      <c r="AY319" s="50"/>
      <c r="AZ319" s="50"/>
      <c r="BA319" s="50"/>
      <c r="BB319" s="50"/>
      <c r="BC319" s="50"/>
      <c r="BD319" s="78"/>
      <c r="BE319" s="78"/>
      <c r="BF319" s="78"/>
      <c r="BG319" s="56">
        <f t="shared" si="5"/>
        <v>0</v>
      </c>
      <c r="BH319" s="42">
        <f t="shared" si="6"/>
        <v>0</v>
      </c>
      <c r="BI319" s="43" t="str">
        <f t="shared" si="7"/>
        <v>#DIV/0!</v>
      </c>
      <c r="BJ319" s="44">
        <f t="shared" si="8"/>
        <v>0</v>
      </c>
      <c r="BK319" s="42">
        <f t="shared" si="9"/>
        <v>0</v>
      </c>
      <c r="BL319" s="28"/>
      <c r="BM319" s="28"/>
      <c r="BN319" s="28"/>
      <c r="BO319" s="28"/>
    </row>
    <row r="320">
      <c r="A320" s="14">
        <f t="shared" si="2"/>
        <v>317</v>
      </c>
      <c r="B320" s="87">
        <f t="shared" si="3"/>
        <v>46113</v>
      </c>
      <c r="C320" s="48">
        <v>46125.0</v>
      </c>
      <c r="D320" s="57">
        <f t="shared" si="4"/>
        <v>46125</v>
      </c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28"/>
      <c r="BE320" s="28"/>
      <c r="BF320" s="28"/>
      <c r="BG320" s="56">
        <f t="shared" si="5"/>
        <v>0</v>
      </c>
      <c r="BH320" s="42">
        <f t="shared" si="6"/>
        <v>0</v>
      </c>
      <c r="BI320" s="43" t="str">
        <f t="shared" si="7"/>
        <v>#DIV/0!</v>
      </c>
      <c r="BJ320" s="44">
        <f t="shared" si="8"/>
        <v>0</v>
      </c>
      <c r="BK320" s="42">
        <f t="shared" si="9"/>
        <v>0</v>
      </c>
      <c r="BL320" s="28"/>
      <c r="BM320" s="28"/>
      <c r="BN320" s="28"/>
      <c r="BO320" s="28"/>
    </row>
    <row r="321">
      <c r="A321" s="14">
        <f t="shared" si="2"/>
        <v>318</v>
      </c>
      <c r="B321" s="87">
        <f t="shared" si="3"/>
        <v>46113</v>
      </c>
      <c r="C321" s="48">
        <v>46126.0</v>
      </c>
      <c r="D321" s="57">
        <f t="shared" si="4"/>
        <v>46126</v>
      </c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28"/>
      <c r="BE321" s="28"/>
      <c r="BF321" s="28"/>
      <c r="BG321" s="56">
        <f t="shared" si="5"/>
        <v>0</v>
      </c>
      <c r="BH321" s="42">
        <f t="shared" si="6"/>
        <v>0</v>
      </c>
      <c r="BI321" s="43" t="str">
        <f t="shared" si="7"/>
        <v>#DIV/0!</v>
      </c>
      <c r="BJ321" s="44">
        <f t="shared" si="8"/>
        <v>0</v>
      </c>
      <c r="BK321" s="42">
        <f t="shared" si="9"/>
        <v>0</v>
      </c>
      <c r="BL321" s="28"/>
      <c r="BM321" s="28"/>
      <c r="BN321" s="28"/>
      <c r="BO321" s="28"/>
    </row>
    <row r="322">
      <c r="A322" s="14">
        <f t="shared" si="2"/>
        <v>319</v>
      </c>
      <c r="B322" s="87">
        <f t="shared" si="3"/>
        <v>46113</v>
      </c>
      <c r="C322" s="48">
        <v>46127.0</v>
      </c>
      <c r="D322" s="57">
        <f t="shared" si="4"/>
        <v>46127</v>
      </c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28"/>
      <c r="BE322" s="28"/>
      <c r="BF322" s="28"/>
      <c r="BG322" s="56">
        <f t="shared" si="5"/>
        <v>0</v>
      </c>
      <c r="BH322" s="42">
        <f t="shared" si="6"/>
        <v>0</v>
      </c>
      <c r="BI322" s="43" t="str">
        <f t="shared" si="7"/>
        <v>#DIV/0!</v>
      </c>
      <c r="BJ322" s="44">
        <f t="shared" si="8"/>
        <v>0</v>
      </c>
      <c r="BK322" s="42">
        <f t="shared" si="9"/>
        <v>0</v>
      </c>
      <c r="BL322" s="28"/>
      <c r="BM322" s="28"/>
      <c r="BN322" s="28"/>
      <c r="BO322" s="28"/>
    </row>
    <row r="323">
      <c r="A323" s="14">
        <f t="shared" si="2"/>
        <v>320</v>
      </c>
      <c r="B323" s="87">
        <f t="shared" si="3"/>
        <v>46113</v>
      </c>
      <c r="C323" s="48">
        <v>46128.0</v>
      </c>
      <c r="D323" s="57">
        <f t="shared" si="4"/>
        <v>46128</v>
      </c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28"/>
      <c r="BE323" s="28"/>
      <c r="BF323" s="28"/>
      <c r="BG323" s="56">
        <f t="shared" si="5"/>
        <v>0</v>
      </c>
      <c r="BH323" s="42">
        <f t="shared" si="6"/>
        <v>0</v>
      </c>
      <c r="BI323" s="43" t="str">
        <f t="shared" si="7"/>
        <v>#DIV/0!</v>
      </c>
      <c r="BJ323" s="44">
        <f t="shared" si="8"/>
        <v>0</v>
      </c>
      <c r="BK323" s="42">
        <f t="shared" si="9"/>
        <v>0</v>
      </c>
      <c r="BL323" s="28"/>
      <c r="BM323" s="28"/>
      <c r="BN323" s="28"/>
      <c r="BO323" s="28"/>
    </row>
    <row r="324">
      <c r="A324" s="14">
        <f t="shared" si="2"/>
        <v>321</v>
      </c>
      <c r="B324" s="87">
        <f t="shared" si="3"/>
        <v>46113</v>
      </c>
      <c r="C324" s="48">
        <v>46129.0</v>
      </c>
      <c r="D324" s="57">
        <f t="shared" si="4"/>
        <v>46129</v>
      </c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58"/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8"/>
      <c r="BB324" s="58"/>
      <c r="BC324" s="58"/>
      <c r="BD324" s="28"/>
      <c r="BE324" s="28"/>
      <c r="BF324" s="28"/>
      <c r="BG324" s="56">
        <f t="shared" si="5"/>
        <v>0</v>
      </c>
      <c r="BH324" s="42">
        <f t="shared" si="6"/>
        <v>0</v>
      </c>
      <c r="BI324" s="43" t="str">
        <f t="shared" si="7"/>
        <v>#DIV/0!</v>
      </c>
      <c r="BJ324" s="44">
        <f t="shared" si="8"/>
        <v>0</v>
      </c>
      <c r="BK324" s="42">
        <f t="shared" si="9"/>
        <v>0</v>
      </c>
      <c r="BL324" s="28"/>
      <c r="BM324" s="28"/>
      <c r="BN324" s="28"/>
      <c r="BO324" s="28"/>
    </row>
    <row r="325">
      <c r="A325" s="14">
        <f t="shared" si="2"/>
        <v>322</v>
      </c>
      <c r="B325" s="87">
        <f t="shared" si="3"/>
        <v>46113</v>
      </c>
      <c r="C325" s="48">
        <v>46130.0</v>
      </c>
      <c r="D325" s="57">
        <f t="shared" si="4"/>
        <v>46130</v>
      </c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58"/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8"/>
      <c r="BB325" s="58"/>
      <c r="BC325" s="58"/>
      <c r="BD325" s="28"/>
      <c r="BE325" s="28"/>
      <c r="BF325" s="28"/>
      <c r="BG325" s="56">
        <f t="shared" si="5"/>
        <v>0</v>
      </c>
      <c r="BH325" s="42">
        <f t="shared" si="6"/>
        <v>0</v>
      </c>
      <c r="BI325" s="43" t="str">
        <f t="shared" si="7"/>
        <v>#DIV/0!</v>
      </c>
      <c r="BJ325" s="44">
        <f t="shared" si="8"/>
        <v>0</v>
      </c>
      <c r="BK325" s="42">
        <f t="shared" si="9"/>
        <v>0</v>
      </c>
      <c r="BL325" s="28"/>
      <c r="BM325" s="28"/>
      <c r="BN325" s="28"/>
      <c r="BO325" s="28"/>
    </row>
    <row r="326">
      <c r="A326" s="14">
        <f t="shared" si="2"/>
        <v>323</v>
      </c>
      <c r="B326" s="87">
        <f t="shared" si="3"/>
        <v>46113</v>
      </c>
      <c r="C326" s="48">
        <v>46131.0</v>
      </c>
      <c r="D326" s="49">
        <f t="shared" si="4"/>
        <v>46131</v>
      </c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89"/>
      <c r="AJ326" s="89"/>
      <c r="AK326" s="89"/>
      <c r="AL326" s="89"/>
      <c r="AM326" s="89"/>
      <c r="AN326" s="89"/>
      <c r="AO326" s="89"/>
      <c r="AP326" s="50"/>
      <c r="AQ326" s="50"/>
      <c r="AR326" s="50"/>
      <c r="AS326" s="50"/>
      <c r="AT326" s="50"/>
      <c r="AU326" s="50"/>
      <c r="AV326" s="50"/>
      <c r="AW326" s="50"/>
      <c r="AX326" s="50"/>
      <c r="AY326" s="50"/>
      <c r="AZ326" s="50"/>
      <c r="BA326" s="50"/>
      <c r="BB326" s="50"/>
      <c r="BC326" s="50"/>
      <c r="BD326" s="78"/>
      <c r="BE326" s="78"/>
      <c r="BF326" s="78"/>
      <c r="BG326" s="56">
        <f t="shared" si="5"/>
        <v>0</v>
      </c>
      <c r="BH326" s="42">
        <f t="shared" si="6"/>
        <v>0</v>
      </c>
      <c r="BI326" s="43" t="str">
        <f t="shared" si="7"/>
        <v>#DIV/0!</v>
      </c>
      <c r="BJ326" s="44">
        <f t="shared" si="8"/>
        <v>0</v>
      </c>
      <c r="BK326" s="42">
        <f t="shared" si="9"/>
        <v>0</v>
      </c>
      <c r="BL326" s="28"/>
      <c r="BM326" s="28"/>
      <c r="BN326" s="28"/>
      <c r="BO326" s="28"/>
    </row>
    <row r="327">
      <c r="A327" s="14">
        <f t="shared" si="2"/>
        <v>324</v>
      </c>
      <c r="B327" s="87">
        <f t="shared" si="3"/>
        <v>46113</v>
      </c>
      <c r="C327" s="48">
        <v>46132.0</v>
      </c>
      <c r="D327" s="57">
        <f t="shared" si="4"/>
        <v>46132</v>
      </c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58"/>
      <c r="AQ327" s="58"/>
      <c r="AR327" s="58"/>
      <c r="AS327" s="58"/>
      <c r="AT327" s="58"/>
      <c r="AU327" s="58"/>
      <c r="AV327" s="58"/>
      <c r="AW327" s="58"/>
      <c r="AX327" s="58"/>
      <c r="AY327" s="58"/>
      <c r="AZ327" s="58"/>
      <c r="BA327" s="58"/>
      <c r="BB327" s="58"/>
      <c r="BC327" s="58"/>
      <c r="BD327" s="28"/>
      <c r="BE327" s="28"/>
      <c r="BF327" s="28"/>
      <c r="BG327" s="56">
        <f t="shared" si="5"/>
        <v>0</v>
      </c>
      <c r="BH327" s="42">
        <f t="shared" si="6"/>
        <v>0</v>
      </c>
      <c r="BI327" s="43" t="str">
        <f t="shared" si="7"/>
        <v>#DIV/0!</v>
      </c>
      <c r="BJ327" s="44">
        <f t="shared" si="8"/>
        <v>0</v>
      </c>
      <c r="BK327" s="42">
        <f t="shared" si="9"/>
        <v>0</v>
      </c>
      <c r="BL327" s="28"/>
      <c r="BM327" s="28"/>
      <c r="BN327" s="28"/>
      <c r="BO327" s="28"/>
    </row>
    <row r="328">
      <c r="A328" s="14">
        <f t="shared" si="2"/>
        <v>325</v>
      </c>
      <c r="B328" s="87">
        <f t="shared" si="3"/>
        <v>46113</v>
      </c>
      <c r="C328" s="48">
        <v>46133.0</v>
      </c>
      <c r="D328" s="57">
        <f t="shared" si="4"/>
        <v>46133</v>
      </c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58"/>
      <c r="AQ328" s="58"/>
      <c r="AR328" s="58"/>
      <c r="AS328" s="58"/>
      <c r="AT328" s="58"/>
      <c r="AU328" s="58"/>
      <c r="AV328" s="58"/>
      <c r="AW328" s="58"/>
      <c r="AX328" s="58"/>
      <c r="AY328" s="58"/>
      <c r="AZ328" s="58"/>
      <c r="BA328" s="58"/>
      <c r="BB328" s="58"/>
      <c r="BC328" s="58"/>
      <c r="BD328" s="28"/>
      <c r="BE328" s="28"/>
      <c r="BF328" s="28"/>
      <c r="BG328" s="56">
        <f t="shared" si="5"/>
        <v>0</v>
      </c>
      <c r="BH328" s="42">
        <f t="shared" si="6"/>
        <v>0</v>
      </c>
      <c r="BI328" s="43" t="str">
        <f t="shared" si="7"/>
        <v>#DIV/0!</v>
      </c>
      <c r="BJ328" s="44">
        <f t="shared" si="8"/>
        <v>0</v>
      </c>
      <c r="BK328" s="42">
        <f t="shared" si="9"/>
        <v>0</v>
      </c>
      <c r="BL328" s="28"/>
      <c r="BM328" s="28"/>
      <c r="BN328" s="28"/>
      <c r="BO328" s="28"/>
    </row>
    <row r="329">
      <c r="A329" s="14">
        <f t="shared" si="2"/>
        <v>326</v>
      </c>
      <c r="B329" s="87">
        <f t="shared" si="3"/>
        <v>46113</v>
      </c>
      <c r="C329" s="48">
        <v>46134.0</v>
      </c>
      <c r="D329" s="57">
        <f t="shared" si="4"/>
        <v>46134</v>
      </c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58"/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8"/>
      <c r="BB329" s="58"/>
      <c r="BC329" s="58"/>
      <c r="BD329" s="28"/>
      <c r="BE329" s="28"/>
      <c r="BF329" s="28"/>
      <c r="BG329" s="56">
        <f t="shared" si="5"/>
        <v>0</v>
      </c>
      <c r="BH329" s="42">
        <f t="shared" si="6"/>
        <v>0</v>
      </c>
      <c r="BI329" s="43" t="str">
        <f t="shared" si="7"/>
        <v>#DIV/0!</v>
      </c>
      <c r="BJ329" s="44">
        <f t="shared" si="8"/>
        <v>0</v>
      </c>
      <c r="BK329" s="42">
        <f t="shared" si="9"/>
        <v>0</v>
      </c>
      <c r="BL329" s="28"/>
      <c r="BM329" s="28"/>
      <c r="BN329" s="28"/>
      <c r="BO329" s="28"/>
    </row>
    <row r="330">
      <c r="A330" s="14">
        <f t="shared" si="2"/>
        <v>327</v>
      </c>
      <c r="B330" s="87">
        <f t="shared" si="3"/>
        <v>46113</v>
      </c>
      <c r="C330" s="48">
        <v>46135.0</v>
      </c>
      <c r="D330" s="57">
        <f t="shared" si="4"/>
        <v>46135</v>
      </c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58"/>
      <c r="AQ330" s="58"/>
      <c r="AR330" s="58"/>
      <c r="AS330" s="58"/>
      <c r="AT330" s="58"/>
      <c r="AU330" s="58"/>
      <c r="AV330" s="58"/>
      <c r="AW330" s="58"/>
      <c r="AX330" s="58"/>
      <c r="AY330" s="58"/>
      <c r="AZ330" s="58"/>
      <c r="BA330" s="58"/>
      <c r="BB330" s="58"/>
      <c r="BC330" s="58"/>
      <c r="BD330" s="28"/>
      <c r="BE330" s="28"/>
      <c r="BF330" s="28"/>
      <c r="BG330" s="56">
        <f t="shared" si="5"/>
        <v>0</v>
      </c>
      <c r="BH330" s="42">
        <f t="shared" si="6"/>
        <v>0</v>
      </c>
      <c r="BI330" s="43" t="str">
        <f t="shared" si="7"/>
        <v>#DIV/0!</v>
      </c>
      <c r="BJ330" s="44">
        <f t="shared" si="8"/>
        <v>0</v>
      </c>
      <c r="BK330" s="42">
        <f t="shared" si="9"/>
        <v>0</v>
      </c>
      <c r="BL330" s="28"/>
      <c r="BM330" s="28"/>
      <c r="BN330" s="28"/>
      <c r="BO330" s="28"/>
    </row>
    <row r="331">
      <c r="A331" s="14">
        <f t="shared" si="2"/>
        <v>328</v>
      </c>
      <c r="B331" s="87">
        <f t="shared" si="3"/>
        <v>46113</v>
      </c>
      <c r="C331" s="48">
        <v>46136.0</v>
      </c>
      <c r="D331" s="57">
        <f t="shared" si="4"/>
        <v>46136</v>
      </c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58"/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58"/>
      <c r="BB331" s="58"/>
      <c r="BC331" s="58"/>
      <c r="BD331" s="28"/>
      <c r="BE331" s="28"/>
      <c r="BF331" s="28"/>
      <c r="BG331" s="56">
        <f t="shared" si="5"/>
        <v>0</v>
      </c>
      <c r="BH331" s="42">
        <f t="shared" si="6"/>
        <v>0</v>
      </c>
      <c r="BI331" s="43" t="str">
        <f t="shared" si="7"/>
        <v>#DIV/0!</v>
      </c>
      <c r="BJ331" s="44">
        <f t="shared" si="8"/>
        <v>0</v>
      </c>
      <c r="BK331" s="42">
        <f t="shared" si="9"/>
        <v>0</v>
      </c>
      <c r="BL331" s="28"/>
      <c r="BM331" s="28"/>
      <c r="BN331" s="28"/>
      <c r="BO331" s="28"/>
    </row>
    <row r="332">
      <c r="A332" s="14">
        <f t="shared" si="2"/>
        <v>329</v>
      </c>
      <c r="B332" s="87">
        <f t="shared" si="3"/>
        <v>46113</v>
      </c>
      <c r="C332" s="48">
        <v>46137.0</v>
      </c>
      <c r="D332" s="57">
        <f t="shared" si="4"/>
        <v>46137</v>
      </c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8"/>
      <c r="AM332" s="20"/>
      <c r="AN332" s="20"/>
      <c r="AO332" s="20"/>
      <c r="AP332" s="58"/>
      <c r="AQ332" s="58"/>
      <c r="AR332" s="58"/>
      <c r="AS332" s="58"/>
      <c r="AT332" s="58"/>
      <c r="AU332" s="58"/>
      <c r="AV332" s="58"/>
      <c r="AW332" s="58"/>
      <c r="AX332" s="58"/>
      <c r="AY332" s="58"/>
      <c r="AZ332" s="58"/>
      <c r="BA332" s="58"/>
      <c r="BB332" s="58"/>
      <c r="BC332" s="58"/>
      <c r="BD332" s="28"/>
      <c r="BE332" s="28"/>
      <c r="BF332" s="28"/>
      <c r="BG332" s="56">
        <f t="shared" si="5"/>
        <v>0</v>
      </c>
      <c r="BH332" s="42">
        <f t="shared" si="6"/>
        <v>0</v>
      </c>
      <c r="BI332" s="43" t="str">
        <f t="shared" si="7"/>
        <v>#DIV/0!</v>
      </c>
      <c r="BJ332" s="44">
        <f t="shared" si="8"/>
        <v>0</v>
      </c>
      <c r="BK332" s="42">
        <f t="shared" si="9"/>
        <v>0</v>
      </c>
      <c r="BL332" s="28"/>
      <c r="BM332" s="28"/>
      <c r="BN332" s="28"/>
      <c r="BO332" s="28"/>
    </row>
    <row r="333">
      <c r="A333" s="14">
        <f t="shared" si="2"/>
        <v>330</v>
      </c>
      <c r="B333" s="87">
        <f t="shared" si="3"/>
        <v>46113</v>
      </c>
      <c r="C333" s="48">
        <v>46138.0</v>
      </c>
      <c r="D333" s="49">
        <f t="shared" si="4"/>
        <v>46138</v>
      </c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89"/>
      <c r="AJ333" s="89"/>
      <c r="AK333" s="89"/>
      <c r="AL333" s="89"/>
      <c r="AM333" s="89"/>
      <c r="AN333" s="89"/>
      <c r="AO333" s="89"/>
      <c r="AP333" s="50"/>
      <c r="AQ333" s="50"/>
      <c r="AR333" s="50"/>
      <c r="AS333" s="50"/>
      <c r="AT333" s="50"/>
      <c r="AU333" s="50"/>
      <c r="AV333" s="50"/>
      <c r="AW333" s="50"/>
      <c r="AX333" s="50"/>
      <c r="AY333" s="50"/>
      <c r="AZ333" s="50"/>
      <c r="BA333" s="50"/>
      <c r="BB333" s="50"/>
      <c r="BC333" s="50"/>
      <c r="BD333" s="78"/>
      <c r="BE333" s="78"/>
      <c r="BF333" s="78"/>
      <c r="BG333" s="56">
        <f t="shared" si="5"/>
        <v>0</v>
      </c>
      <c r="BH333" s="42">
        <f t="shared" si="6"/>
        <v>0</v>
      </c>
      <c r="BI333" s="43" t="str">
        <f t="shared" si="7"/>
        <v>#DIV/0!</v>
      </c>
      <c r="BJ333" s="44">
        <f t="shared" si="8"/>
        <v>0</v>
      </c>
      <c r="BK333" s="42">
        <f t="shared" si="9"/>
        <v>0</v>
      </c>
      <c r="BL333" s="28"/>
      <c r="BM333" s="28"/>
      <c r="BN333" s="28"/>
      <c r="BO333" s="28"/>
    </row>
    <row r="334">
      <c r="A334" s="14">
        <f t="shared" si="2"/>
        <v>331</v>
      </c>
      <c r="B334" s="87">
        <f t="shared" si="3"/>
        <v>46113</v>
      </c>
      <c r="C334" s="48">
        <v>46139.0</v>
      </c>
      <c r="D334" s="57">
        <f t="shared" si="4"/>
        <v>46139</v>
      </c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8"/>
      <c r="AN334" s="20"/>
      <c r="AO334" s="20"/>
      <c r="AP334" s="58"/>
      <c r="AQ334" s="58"/>
      <c r="AR334" s="58"/>
      <c r="AS334" s="58"/>
      <c r="AT334" s="58"/>
      <c r="AU334" s="58"/>
      <c r="AV334" s="58"/>
      <c r="AW334" s="58"/>
      <c r="AX334" s="58"/>
      <c r="AY334" s="58"/>
      <c r="AZ334" s="58"/>
      <c r="BA334" s="58"/>
      <c r="BB334" s="58"/>
      <c r="BC334" s="58"/>
      <c r="BD334" s="28"/>
      <c r="BE334" s="28"/>
      <c r="BF334" s="28"/>
      <c r="BG334" s="56">
        <f t="shared" si="5"/>
        <v>0</v>
      </c>
      <c r="BH334" s="42">
        <f t="shared" si="6"/>
        <v>0</v>
      </c>
      <c r="BI334" s="43" t="str">
        <f t="shared" si="7"/>
        <v>#DIV/0!</v>
      </c>
      <c r="BJ334" s="44">
        <f t="shared" si="8"/>
        <v>0</v>
      </c>
      <c r="BK334" s="42">
        <f t="shared" si="9"/>
        <v>0</v>
      </c>
      <c r="BL334" s="28"/>
      <c r="BM334" s="28"/>
      <c r="BN334" s="28"/>
      <c r="BO334" s="28"/>
    </row>
    <row r="335">
      <c r="A335" s="14">
        <f t="shared" si="2"/>
        <v>332</v>
      </c>
      <c r="B335" s="87">
        <f t="shared" si="3"/>
        <v>46113</v>
      </c>
      <c r="C335" s="48">
        <v>46140.0</v>
      </c>
      <c r="D335" s="57">
        <f t="shared" si="4"/>
        <v>46140</v>
      </c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58"/>
      <c r="AQ335" s="58"/>
      <c r="AR335" s="58"/>
      <c r="AS335" s="58"/>
      <c r="AT335" s="58"/>
      <c r="AU335" s="58"/>
      <c r="AV335" s="58"/>
      <c r="AW335" s="58"/>
      <c r="AX335" s="58"/>
      <c r="AY335" s="58"/>
      <c r="AZ335" s="58"/>
      <c r="BA335" s="58"/>
      <c r="BB335" s="58"/>
      <c r="BC335" s="58"/>
      <c r="BD335" s="28"/>
      <c r="BE335" s="28"/>
      <c r="BF335" s="28"/>
      <c r="BG335" s="56">
        <f t="shared" si="5"/>
        <v>0</v>
      </c>
      <c r="BH335" s="42">
        <f t="shared" si="6"/>
        <v>0</v>
      </c>
      <c r="BI335" s="43" t="str">
        <f t="shared" si="7"/>
        <v>#DIV/0!</v>
      </c>
      <c r="BJ335" s="44">
        <f t="shared" si="8"/>
        <v>0</v>
      </c>
      <c r="BK335" s="42">
        <f t="shared" si="9"/>
        <v>0</v>
      </c>
      <c r="BL335" s="28"/>
      <c r="BM335" s="28"/>
      <c r="BN335" s="28"/>
      <c r="BO335" s="28"/>
    </row>
    <row r="336">
      <c r="A336" s="14">
        <f t="shared" si="2"/>
        <v>333</v>
      </c>
      <c r="B336" s="87">
        <f t="shared" si="3"/>
        <v>46113</v>
      </c>
      <c r="C336" s="48">
        <v>46141.0</v>
      </c>
      <c r="D336" s="57">
        <f t="shared" si="4"/>
        <v>46141</v>
      </c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58"/>
      <c r="AQ336" s="58"/>
      <c r="AR336" s="58"/>
      <c r="AS336" s="58"/>
      <c r="AT336" s="58"/>
      <c r="AU336" s="58"/>
      <c r="AV336" s="58"/>
      <c r="AW336" s="58"/>
      <c r="AX336" s="58"/>
      <c r="AY336" s="58"/>
      <c r="AZ336" s="58"/>
      <c r="BA336" s="58"/>
      <c r="BB336" s="58"/>
      <c r="BC336" s="58"/>
      <c r="BD336" s="28"/>
      <c r="BE336" s="28"/>
      <c r="BF336" s="28"/>
      <c r="BG336" s="56">
        <f t="shared" si="5"/>
        <v>0</v>
      </c>
      <c r="BH336" s="42">
        <f t="shared" si="6"/>
        <v>0</v>
      </c>
      <c r="BI336" s="43" t="str">
        <f t="shared" si="7"/>
        <v>#DIV/0!</v>
      </c>
      <c r="BJ336" s="44">
        <f t="shared" si="8"/>
        <v>0</v>
      </c>
      <c r="BK336" s="42">
        <f t="shared" si="9"/>
        <v>0</v>
      </c>
      <c r="BL336" s="28"/>
      <c r="BM336" s="28"/>
      <c r="BN336" s="28"/>
      <c r="BO336" s="28"/>
    </row>
    <row r="337">
      <c r="A337" s="14">
        <f t="shared" si="2"/>
        <v>334</v>
      </c>
      <c r="B337" s="87">
        <f t="shared" si="3"/>
        <v>46113</v>
      </c>
      <c r="C337" s="48">
        <v>46142.0</v>
      </c>
      <c r="D337" s="57">
        <f t="shared" si="4"/>
        <v>46142</v>
      </c>
      <c r="E337" s="20"/>
      <c r="F337" s="20"/>
      <c r="G337" s="28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58"/>
      <c r="AQ337" s="58"/>
      <c r="AR337" s="58"/>
      <c r="AS337" s="58"/>
      <c r="AT337" s="58"/>
      <c r="AU337" s="58"/>
      <c r="AV337" s="58"/>
      <c r="AW337" s="58"/>
      <c r="AX337" s="58"/>
      <c r="AY337" s="58"/>
      <c r="AZ337" s="58"/>
      <c r="BA337" s="58"/>
      <c r="BB337" s="58"/>
      <c r="BC337" s="58"/>
      <c r="BD337" s="28"/>
      <c r="BE337" s="28"/>
      <c r="BF337" s="28"/>
      <c r="BG337" s="56">
        <f t="shared" si="5"/>
        <v>0</v>
      </c>
      <c r="BH337" s="42">
        <f t="shared" si="6"/>
        <v>0</v>
      </c>
      <c r="BI337" s="43" t="str">
        <f t="shared" si="7"/>
        <v>#DIV/0!</v>
      </c>
      <c r="BJ337" s="44">
        <f t="shared" si="8"/>
        <v>0</v>
      </c>
      <c r="BK337" s="42">
        <f t="shared" si="9"/>
        <v>0</v>
      </c>
      <c r="BL337" s="28"/>
      <c r="BM337" s="28"/>
      <c r="BN337" s="28"/>
      <c r="BO337" s="28"/>
    </row>
    <row r="338">
      <c r="A338" s="1"/>
      <c r="B338" s="1"/>
      <c r="C338" s="90"/>
      <c r="D338" s="1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46"/>
      <c r="BI338" s="29"/>
      <c r="BJ338" s="28"/>
      <c r="BK338" s="28"/>
      <c r="BL338" s="28"/>
      <c r="BM338" s="28"/>
      <c r="BN338" s="28"/>
      <c r="BO338" s="28"/>
    </row>
    <row r="339">
      <c r="A339" s="1"/>
      <c r="B339" s="1"/>
      <c r="C339" s="90"/>
      <c r="D339" s="1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46"/>
      <c r="BI339" s="29"/>
      <c r="BJ339" s="28"/>
      <c r="BK339" s="28"/>
      <c r="BL339" s="28"/>
      <c r="BM339" s="28"/>
      <c r="BN339" s="28"/>
      <c r="BO339" s="28"/>
    </row>
    <row r="340">
      <c r="A340" s="1"/>
      <c r="B340" s="1"/>
      <c r="C340" s="90"/>
      <c r="D340" s="1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  <c r="BH340" s="46"/>
      <c r="BI340" s="29"/>
      <c r="BJ340" s="28"/>
      <c r="BK340" s="28"/>
      <c r="BL340" s="28"/>
      <c r="BM340" s="28"/>
      <c r="BN340" s="28"/>
      <c r="BO340" s="28"/>
    </row>
    <row r="341">
      <c r="A341" s="1"/>
      <c r="B341" s="1"/>
      <c r="C341" s="90"/>
      <c r="D341" s="1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46"/>
      <c r="BI341" s="29"/>
      <c r="BJ341" s="28"/>
      <c r="BK341" s="28"/>
      <c r="BL341" s="28"/>
      <c r="BM341" s="28"/>
      <c r="BN341" s="28"/>
      <c r="BO341" s="28"/>
    </row>
    <row r="342">
      <c r="A342" s="1"/>
      <c r="B342" s="1"/>
      <c r="C342" s="90"/>
      <c r="D342" s="1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46"/>
      <c r="BI342" s="29"/>
      <c r="BJ342" s="28"/>
      <c r="BK342" s="28"/>
      <c r="BL342" s="28"/>
      <c r="BM342" s="28"/>
      <c r="BN342" s="28"/>
      <c r="BO342" s="28"/>
    </row>
    <row r="343">
      <c r="A343" s="1"/>
      <c r="B343" s="1"/>
      <c r="C343" s="90"/>
      <c r="D343" s="1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46"/>
      <c r="BI343" s="29"/>
      <c r="BJ343" s="28"/>
      <c r="BK343" s="28"/>
      <c r="BL343" s="28"/>
      <c r="BM343" s="28"/>
      <c r="BN343" s="28"/>
      <c r="BO343" s="28"/>
    </row>
    <row r="344">
      <c r="A344" s="1"/>
      <c r="B344" s="1"/>
      <c r="C344" s="90"/>
      <c r="D344" s="1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46"/>
      <c r="BI344" s="29"/>
      <c r="BJ344" s="28"/>
      <c r="BK344" s="28"/>
      <c r="BL344" s="28"/>
      <c r="BM344" s="28"/>
      <c r="BN344" s="28"/>
      <c r="BO344" s="28"/>
    </row>
    <row r="345">
      <c r="A345" s="1"/>
      <c r="B345" s="1"/>
      <c r="C345" s="90"/>
      <c r="D345" s="1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46"/>
      <c r="BI345" s="29"/>
      <c r="BJ345" s="28"/>
      <c r="BK345" s="28"/>
      <c r="BL345" s="28"/>
      <c r="BM345" s="28"/>
      <c r="BN345" s="28"/>
      <c r="BO345" s="28"/>
    </row>
    <row r="346">
      <c r="A346" s="1"/>
      <c r="B346" s="1"/>
      <c r="C346" s="90"/>
      <c r="D346" s="1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46"/>
      <c r="BI346" s="29"/>
      <c r="BJ346" s="28"/>
      <c r="BK346" s="28"/>
      <c r="BL346" s="28"/>
      <c r="BM346" s="28"/>
      <c r="BN346" s="28"/>
      <c r="BO346" s="28"/>
    </row>
    <row r="347">
      <c r="A347" s="1"/>
      <c r="B347" s="1"/>
      <c r="C347" s="90"/>
      <c r="D347" s="1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46"/>
      <c r="BI347" s="29"/>
      <c r="BJ347" s="28"/>
      <c r="BK347" s="28"/>
      <c r="BL347" s="28"/>
      <c r="BM347" s="28"/>
      <c r="BN347" s="28"/>
      <c r="BO347" s="28"/>
    </row>
    <row r="348">
      <c r="A348" s="1"/>
      <c r="B348" s="1"/>
      <c r="C348" s="90"/>
      <c r="D348" s="1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46"/>
      <c r="BI348" s="29"/>
      <c r="BJ348" s="28"/>
      <c r="BK348" s="28"/>
      <c r="BL348" s="28"/>
      <c r="BM348" s="28"/>
      <c r="BN348" s="28"/>
      <c r="BO348" s="28"/>
    </row>
    <row r="349">
      <c r="A349" s="1"/>
      <c r="B349" s="1"/>
      <c r="C349" s="90"/>
      <c r="D349" s="1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46"/>
      <c r="BI349" s="29"/>
      <c r="BJ349" s="28"/>
      <c r="BK349" s="28"/>
      <c r="BL349" s="28"/>
      <c r="BM349" s="28"/>
      <c r="BN349" s="28"/>
      <c r="BO349" s="28"/>
    </row>
    <row r="350">
      <c r="A350" s="1"/>
      <c r="B350" s="1"/>
      <c r="C350" s="90"/>
      <c r="D350" s="1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46"/>
      <c r="BI350" s="29"/>
      <c r="BJ350" s="28"/>
      <c r="BK350" s="28"/>
      <c r="BL350" s="28"/>
      <c r="BM350" s="28"/>
      <c r="BN350" s="28"/>
      <c r="BO350" s="28"/>
    </row>
    <row r="351">
      <c r="A351" s="1"/>
      <c r="B351" s="1"/>
      <c r="C351" s="90"/>
      <c r="D351" s="1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46"/>
      <c r="BI351" s="29"/>
      <c r="BJ351" s="28"/>
      <c r="BK351" s="28"/>
      <c r="BL351" s="28"/>
      <c r="BM351" s="28"/>
      <c r="BN351" s="28"/>
      <c r="BO351" s="28"/>
    </row>
    <row r="352">
      <c r="A352" s="1"/>
      <c r="B352" s="1"/>
      <c r="C352" s="90"/>
      <c r="D352" s="1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46"/>
      <c r="BI352" s="29"/>
      <c r="BJ352" s="28"/>
      <c r="BK352" s="28"/>
      <c r="BL352" s="28"/>
      <c r="BM352" s="28"/>
      <c r="BN352" s="28"/>
      <c r="BO352" s="28"/>
    </row>
    <row r="353">
      <c r="A353" s="1"/>
      <c r="B353" s="1"/>
      <c r="C353" s="90"/>
      <c r="D353" s="1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46"/>
      <c r="BI353" s="29"/>
      <c r="BJ353" s="28"/>
      <c r="BK353" s="28"/>
      <c r="BL353" s="28"/>
      <c r="BM353" s="28"/>
      <c r="BN353" s="28"/>
      <c r="BO353" s="28"/>
    </row>
    <row r="354">
      <c r="A354" s="1"/>
      <c r="B354" s="1"/>
      <c r="C354" s="90"/>
      <c r="D354" s="1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46"/>
      <c r="BI354" s="29"/>
      <c r="BJ354" s="28"/>
      <c r="BK354" s="28"/>
      <c r="BL354" s="28"/>
      <c r="BM354" s="28"/>
      <c r="BN354" s="28"/>
      <c r="BO354" s="28"/>
    </row>
    <row r="355">
      <c r="A355" s="1"/>
      <c r="B355" s="1"/>
      <c r="C355" s="90"/>
      <c r="D355" s="1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46"/>
      <c r="BI355" s="29"/>
      <c r="BJ355" s="28"/>
      <c r="BK355" s="28"/>
      <c r="BL355" s="28"/>
      <c r="BM355" s="28"/>
      <c r="BN355" s="28"/>
      <c r="BO355" s="28"/>
    </row>
    <row r="356">
      <c r="A356" s="1"/>
      <c r="B356" s="1"/>
      <c r="C356" s="90"/>
      <c r="D356" s="1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46"/>
      <c r="BI356" s="29"/>
      <c r="BJ356" s="28"/>
      <c r="BK356" s="28"/>
      <c r="BL356" s="28"/>
      <c r="BM356" s="28"/>
      <c r="BN356" s="28"/>
      <c r="BO356" s="28"/>
    </row>
    <row r="357">
      <c r="A357" s="1"/>
      <c r="B357" s="1"/>
      <c r="C357" s="90"/>
      <c r="D357" s="1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46"/>
      <c r="BI357" s="29"/>
      <c r="BJ357" s="28"/>
      <c r="BK357" s="28"/>
      <c r="BL357" s="28"/>
      <c r="BM357" s="28"/>
      <c r="BN357" s="28"/>
      <c r="BO357" s="28"/>
    </row>
    <row r="358">
      <c r="A358" s="1"/>
      <c r="B358" s="1"/>
      <c r="C358" s="90"/>
      <c r="D358" s="1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46"/>
      <c r="BI358" s="29"/>
      <c r="BJ358" s="28"/>
      <c r="BK358" s="28"/>
      <c r="BL358" s="28"/>
      <c r="BM358" s="28"/>
      <c r="BN358" s="28"/>
      <c r="BO358" s="28"/>
    </row>
    <row r="359">
      <c r="A359" s="1"/>
      <c r="B359" s="1"/>
      <c r="C359" s="90"/>
      <c r="D359" s="1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  <c r="BH359" s="46"/>
      <c r="BI359" s="29"/>
      <c r="BJ359" s="28"/>
      <c r="BK359" s="28"/>
      <c r="BL359" s="28"/>
      <c r="BM359" s="28"/>
      <c r="BN359" s="28"/>
      <c r="BO359" s="28"/>
    </row>
    <row r="360">
      <c r="A360" s="1"/>
      <c r="B360" s="1"/>
      <c r="C360" s="90"/>
      <c r="D360" s="1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46"/>
      <c r="BI360" s="29"/>
      <c r="BJ360" s="28"/>
      <c r="BK360" s="28"/>
      <c r="BL360" s="28"/>
      <c r="BM360" s="28"/>
      <c r="BN360" s="28"/>
      <c r="BO360" s="28"/>
    </row>
    <row r="361">
      <c r="A361" s="1"/>
      <c r="B361" s="1"/>
      <c r="C361" s="90"/>
      <c r="D361" s="1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46"/>
      <c r="BI361" s="29"/>
      <c r="BJ361" s="28"/>
      <c r="BK361" s="28"/>
      <c r="BL361" s="28"/>
      <c r="BM361" s="28"/>
      <c r="BN361" s="28"/>
      <c r="BO361" s="28"/>
    </row>
    <row r="362">
      <c r="A362" s="1"/>
      <c r="B362" s="1"/>
      <c r="C362" s="90"/>
      <c r="D362" s="1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46"/>
      <c r="BI362" s="29"/>
      <c r="BJ362" s="28"/>
      <c r="BK362" s="28"/>
      <c r="BL362" s="28"/>
      <c r="BM362" s="28"/>
      <c r="BN362" s="28"/>
      <c r="BO362" s="28"/>
    </row>
    <row r="363">
      <c r="A363" s="1"/>
      <c r="B363" s="1"/>
      <c r="C363" s="90"/>
      <c r="D363" s="1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46"/>
      <c r="BI363" s="29"/>
      <c r="BJ363" s="28"/>
      <c r="BK363" s="28"/>
      <c r="BL363" s="28"/>
      <c r="BM363" s="28"/>
      <c r="BN363" s="28"/>
      <c r="BO363" s="28"/>
    </row>
    <row r="364">
      <c r="A364" s="1"/>
      <c r="B364" s="1"/>
      <c r="C364" s="90"/>
      <c r="D364" s="1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  <c r="BF364" s="28"/>
      <c r="BG364" s="28"/>
      <c r="BH364" s="46"/>
      <c r="BI364" s="29"/>
      <c r="BJ364" s="28"/>
      <c r="BK364" s="28"/>
      <c r="BL364" s="28"/>
      <c r="BM364" s="28"/>
      <c r="BN364" s="28"/>
      <c r="BO364" s="28"/>
    </row>
    <row r="365">
      <c r="A365" s="1"/>
      <c r="B365" s="1"/>
      <c r="C365" s="90"/>
      <c r="D365" s="1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46"/>
      <c r="BI365" s="29"/>
      <c r="BJ365" s="28"/>
      <c r="BK365" s="28"/>
      <c r="BL365" s="28"/>
      <c r="BM365" s="28"/>
      <c r="BN365" s="28"/>
      <c r="BO365" s="28"/>
    </row>
    <row r="366">
      <c r="A366" s="1"/>
      <c r="B366" s="1"/>
      <c r="C366" s="90"/>
      <c r="D366" s="1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46"/>
      <c r="BI366" s="29"/>
      <c r="BJ366" s="28"/>
      <c r="BK366" s="28"/>
      <c r="BL366" s="28"/>
      <c r="BM366" s="28"/>
      <c r="BN366" s="28"/>
      <c r="BO366" s="28"/>
    </row>
    <row r="367">
      <c r="A367" s="1"/>
      <c r="B367" s="1"/>
      <c r="C367" s="90"/>
      <c r="D367" s="1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  <c r="BH367" s="46"/>
      <c r="BI367" s="29"/>
      <c r="BJ367" s="28"/>
      <c r="BK367" s="28"/>
      <c r="BL367" s="28"/>
      <c r="BM367" s="28"/>
      <c r="BN367" s="28"/>
      <c r="BO367" s="28"/>
    </row>
    <row r="368">
      <c r="A368" s="1"/>
      <c r="B368" s="1"/>
      <c r="C368" s="90"/>
      <c r="D368" s="1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46"/>
      <c r="BI368" s="29"/>
      <c r="BJ368" s="28"/>
      <c r="BK368" s="28"/>
      <c r="BL368" s="28"/>
      <c r="BM368" s="28"/>
      <c r="BN368" s="28"/>
      <c r="BO368" s="28"/>
    </row>
    <row r="369">
      <c r="A369" s="1"/>
      <c r="B369" s="1"/>
      <c r="C369" s="90"/>
      <c r="D369" s="1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46"/>
      <c r="BI369" s="29"/>
      <c r="BJ369" s="28"/>
      <c r="BK369" s="28"/>
      <c r="BL369" s="28"/>
      <c r="BM369" s="28"/>
      <c r="BN369" s="28"/>
      <c r="BO369" s="28"/>
    </row>
    <row r="370">
      <c r="A370" s="1"/>
      <c r="B370" s="1"/>
      <c r="C370" s="90"/>
      <c r="D370" s="1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46"/>
      <c r="BI370" s="29"/>
      <c r="BJ370" s="28"/>
      <c r="BK370" s="28"/>
      <c r="BL370" s="28"/>
      <c r="BM370" s="28"/>
      <c r="BN370" s="28"/>
      <c r="BO370" s="28"/>
    </row>
    <row r="371">
      <c r="A371" s="1"/>
      <c r="B371" s="1"/>
      <c r="C371" s="90"/>
      <c r="D371" s="1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  <c r="BG371" s="28"/>
      <c r="BH371" s="46"/>
      <c r="BI371" s="29"/>
      <c r="BJ371" s="28"/>
      <c r="BK371" s="28"/>
      <c r="BL371" s="28"/>
      <c r="BM371" s="28"/>
      <c r="BN371" s="28"/>
      <c r="BO371" s="28"/>
    </row>
    <row r="372">
      <c r="A372" s="1"/>
      <c r="B372" s="1"/>
      <c r="C372" s="90"/>
      <c r="D372" s="1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  <c r="BG372" s="28"/>
      <c r="BH372" s="46"/>
      <c r="BI372" s="29"/>
      <c r="BJ372" s="28"/>
      <c r="BK372" s="28"/>
      <c r="BL372" s="28"/>
      <c r="BM372" s="28"/>
      <c r="BN372" s="28"/>
      <c r="BO372" s="28"/>
    </row>
    <row r="373">
      <c r="A373" s="1"/>
      <c r="B373" s="1"/>
      <c r="C373" s="90"/>
      <c r="D373" s="1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46"/>
      <c r="BI373" s="29"/>
      <c r="BJ373" s="28"/>
      <c r="BK373" s="28"/>
      <c r="BL373" s="28"/>
      <c r="BM373" s="28"/>
      <c r="BN373" s="28"/>
      <c r="BO373" s="28"/>
    </row>
    <row r="374">
      <c r="A374" s="1"/>
      <c r="B374" s="1"/>
      <c r="C374" s="90"/>
      <c r="D374" s="1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46"/>
      <c r="BI374" s="29"/>
      <c r="BJ374" s="28"/>
      <c r="BK374" s="28"/>
      <c r="BL374" s="28"/>
      <c r="BM374" s="28"/>
      <c r="BN374" s="28"/>
      <c r="BO374" s="28"/>
    </row>
    <row r="375">
      <c r="A375" s="1"/>
      <c r="B375" s="1"/>
      <c r="C375" s="90"/>
      <c r="D375" s="1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  <c r="BH375" s="46"/>
      <c r="BI375" s="29"/>
      <c r="BJ375" s="28"/>
      <c r="BK375" s="28"/>
      <c r="BL375" s="28"/>
      <c r="BM375" s="28"/>
      <c r="BN375" s="28"/>
      <c r="BO375" s="28"/>
    </row>
    <row r="376">
      <c r="A376" s="1"/>
      <c r="B376" s="1"/>
      <c r="C376" s="90"/>
      <c r="D376" s="1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  <c r="BG376" s="28"/>
      <c r="BH376" s="46"/>
      <c r="BI376" s="29"/>
      <c r="BJ376" s="28"/>
      <c r="BK376" s="28"/>
      <c r="BL376" s="28"/>
      <c r="BM376" s="28"/>
      <c r="BN376" s="28"/>
      <c r="BO376" s="28"/>
    </row>
    <row r="377">
      <c r="A377" s="1"/>
      <c r="B377" s="1"/>
      <c r="C377" s="90"/>
      <c r="D377" s="1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  <c r="BG377" s="28"/>
      <c r="BH377" s="46"/>
      <c r="BI377" s="29"/>
      <c r="BJ377" s="28"/>
      <c r="BK377" s="28"/>
      <c r="BL377" s="28"/>
      <c r="BM377" s="28"/>
      <c r="BN377" s="28"/>
      <c r="BO377" s="28"/>
    </row>
    <row r="378">
      <c r="A378" s="1"/>
      <c r="B378" s="1"/>
      <c r="C378" s="1"/>
      <c r="D378" s="1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  <c r="BG378" s="28"/>
      <c r="BH378" s="46"/>
      <c r="BI378" s="29"/>
      <c r="BJ378" s="28"/>
      <c r="BK378" s="28"/>
      <c r="BL378" s="28"/>
      <c r="BM378" s="28"/>
      <c r="BN378" s="28"/>
      <c r="BO378" s="28"/>
    </row>
    <row r="379">
      <c r="A379" s="1"/>
      <c r="B379" s="1"/>
      <c r="C379" s="1"/>
      <c r="D379" s="1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  <c r="BG379" s="28"/>
      <c r="BH379" s="46"/>
      <c r="BI379" s="29"/>
      <c r="BJ379" s="28"/>
      <c r="BK379" s="28"/>
      <c r="BL379" s="28"/>
      <c r="BM379" s="28"/>
      <c r="BN379" s="28"/>
      <c r="BO379" s="28"/>
    </row>
    <row r="380">
      <c r="A380" s="1"/>
      <c r="B380" s="1"/>
      <c r="C380" s="1"/>
      <c r="D380" s="1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  <c r="BG380" s="28"/>
      <c r="BH380" s="46"/>
      <c r="BI380" s="29"/>
      <c r="BJ380" s="28"/>
      <c r="BK380" s="28"/>
      <c r="BL380" s="28"/>
      <c r="BM380" s="28"/>
      <c r="BN380" s="28"/>
      <c r="BO380" s="28"/>
    </row>
    <row r="381">
      <c r="A381" s="1"/>
      <c r="B381" s="1"/>
      <c r="C381" s="1"/>
      <c r="D381" s="1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  <c r="BH381" s="46"/>
      <c r="BI381" s="29"/>
      <c r="BJ381" s="28"/>
      <c r="BK381" s="28"/>
      <c r="BL381" s="28"/>
      <c r="BM381" s="28"/>
      <c r="BN381" s="28"/>
      <c r="BO381" s="28"/>
    </row>
    <row r="382">
      <c r="A382" s="1"/>
      <c r="B382" s="1"/>
      <c r="C382" s="1"/>
      <c r="D382" s="1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  <c r="BG382" s="28"/>
      <c r="BH382" s="46"/>
      <c r="BI382" s="29"/>
      <c r="BJ382" s="28"/>
      <c r="BK382" s="28"/>
      <c r="BL382" s="28"/>
      <c r="BM382" s="28"/>
      <c r="BN382" s="28"/>
      <c r="BO382" s="28"/>
    </row>
    <row r="383">
      <c r="A383" s="1"/>
      <c r="B383" s="1"/>
      <c r="C383" s="1"/>
      <c r="D383" s="1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  <c r="BG383" s="28"/>
      <c r="BH383" s="46"/>
      <c r="BI383" s="29"/>
      <c r="BJ383" s="28"/>
      <c r="BK383" s="28"/>
      <c r="BL383" s="28"/>
      <c r="BM383" s="28"/>
      <c r="BN383" s="28"/>
      <c r="BO383" s="28"/>
    </row>
    <row r="384">
      <c r="A384" s="1"/>
      <c r="B384" s="1"/>
      <c r="C384" s="1"/>
      <c r="D384" s="1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  <c r="BH384" s="46"/>
      <c r="BI384" s="29"/>
      <c r="BJ384" s="28"/>
      <c r="BK384" s="28"/>
      <c r="BL384" s="28"/>
      <c r="BM384" s="28"/>
      <c r="BN384" s="28"/>
      <c r="BO384" s="28"/>
    </row>
    <row r="385">
      <c r="A385" s="1"/>
      <c r="B385" s="1"/>
      <c r="C385" s="1"/>
      <c r="D385" s="1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  <c r="BH385" s="46"/>
      <c r="BI385" s="29"/>
      <c r="BJ385" s="28"/>
      <c r="BK385" s="28"/>
      <c r="BL385" s="28"/>
      <c r="BM385" s="28"/>
      <c r="BN385" s="28"/>
      <c r="BO385" s="28"/>
    </row>
    <row r="386">
      <c r="A386" s="1"/>
      <c r="B386" s="1"/>
      <c r="C386" s="1"/>
      <c r="D386" s="1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  <c r="BG386" s="28"/>
      <c r="BH386" s="46"/>
      <c r="BI386" s="29"/>
      <c r="BJ386" s="28"/>
      <c r="BK386" s="28"/>
      <c r="BL386" s="28"/>
      <c r="BM386" s="28"/>
      <c r="BN386" s="28"/>
      <c r="BO386" s="28"/>
    </row>
    <row r="387">
      <c r="A387" s="1"/>
      <c r="B387" s="1"/>
      <c r="C387" s="1"/>
      <c r="D387" s="1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  <c r="BH387" s="46"/>
      <c r="BI387" s="29"/>
      <c r="BJ387" s="28"/>
      <c r="BK387" s="28"/>
      <c r="BL387" s="28"/>
      <c r="BM387" s="28"/>
      <c r="BN387" s="28"/>
      <c r="BO387" s="28"/>
    </row>
    <row r="388">
      <c r="A388" s="1"/>
      <c r="B388" s="1"/>
      <c r="C388" s="1"/>
      <c r="D388" s="1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  <c r="BG388" s="28"/>
      <c r="BH388" s="46"/>
      <c r="BI388" s="29"/>
      <c r="BJ388" s="28"/>
      <c r="BK388" s="28"/>
      <c r="BL388" s="28"/>
      <c r="BM388" s="28"/>
      <c r="BN388" s="28"/>
      <c r="BO388" s="28"/>
    </row>
    <row r="389">
      <c r="A389" s="1"/>
      <c r="B389" s="1"/>
      <c r="C389" s="1"/>
      <c r="D389" s="1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  <c r="BG389" s="28"/>
      <c r="BH389" s="46"/>
      <c r="BI389" s="29"/>
      <c r="BJ389" s="28"/>
      <c r="BK389" s="28"/>
      <c r="BL389" s="28"/>
      <c r="BM389" s="28"/>
      <c r="BN389" s="28"/>
      <c r="BO389" s="28"/>
    </row>
    <row r="390">
      <c r="A390" s="1"/>
      <c r="B390" s="1"/>
      <c r="C390" s="1"/>
      <c r="D390" s="1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  <c r="BG390" s="28"/>
      <c r="BH390" s="46"/>
      <c r="BI390" s="29"/>
      <c r="BJ390" s="28"/>
      <c r="BK390" s="28"/>
      <c r="BL390" s="28"/>
      <c r="BM390" s="28"/>
      <c r="BN390" s="28"/>
      <c r="BO390" s="28"/>
    </row>
    <row r="391">
      <c r="A391" s="1"/>
      <c r="B391" s="1"/>
      <c r="C391" s="1"/>
      <c r="D391" s="1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  <c r="BG391" s="28"/>
      <c r="BH391" s="46"/>
      <c r="BI391" s="29"/>
      <c r="BJ391" s="28"/>
      <c r="BK391" s="28"/>
      <c r="BL391" s="28"/>
      <c r="BM391" s="28"/>
      <c r="BN391" s="28"/>
      <c r="BO391" s="28"/>
    </row>
    <row r="392">
      <c r="A392" s="1"/>
      <c r="B392" s="1"/>
      <c r="C392" s="1"/>
      <c r="D392" s="1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  <c r="BG392" s="28"/>
      <c r="BH392" s="46"/>
      <c r="BI392" s="29"/>
      <c r="BJ392" s="28"/>
      <c r="BK392" s="28"/>
      <c r="BL392" s="28"/>
      <c r="BM392" s="28"/>
      <c r="BN392" s="28"/>
      <c r="BO392" s="28"/>
    </row>
    <row r="393">
      <c r="A393" s="1"/>
      <c r="B393" s="1"/>
      <c r="C393" s="1"/>
      <c r="D393" s="1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  <c r="BH393" s="46"/>
      <c r="BI393" s="29"/>
      <c r="BJ393" s="28"/>
      <c r="BK393" s="28"/>
      <c r="BL393" s="28"/>
      <c r="BM393" s="28"/>
      <c r="BN393" s="28"/>
      <c r="BO393" s="28"/>
    </row>
    <row r="394">
      <c r="A394" s="1"/>
      <c r="B394" s="1"/>
      <c r="C394" s="1"/>
      <c r="D394" s="1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  <c r="BG394" s="28"/>
      <c r="BH394" s="46"/>
      <c r="BI394" s="29"/>
      <c r="BJ394" s="28"/>
      <c r="BK394" s="28"/>
      <c r="BL394" s="28"/>
      <c r="BM394" s="28"/>
      <c r="BN394" s="28"/>
      <c r="BO394" s="28"/>
    </row>
    <row r="395">
      <c r="A395" s="1"/>
      <c r="B395" s="1"/>
      <c r="C395" s="1"/>
      <c r="D395" s="1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  <c r="BG395" s="28"/>
      <c r="BH395" s="46"/>
      <c r="BI395" s="29"/>
      <c r="BJ395" s="28"/>
      <c r="BK395" s="28"/>
      <c r="BL395" s="28"/>
      <c r="BM395" s="28"/>
      <c r="BN395" s="28"/>
      <c r="BO395" s="28"/>
    </row>
    <row r="396">
      <c r="A396" s="1"/>
      <c r="B396" s="1"/>
      <c r="C396" s="1"/>
      <c r="D396" s="1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  <c r="BG396" s="28"/>
      <c r="BH396" s="46"/>
      <c r="BI396" s="29"/>
      <c r="BJ396" s="28"/>
      <c r="BK396" s="28"/>
      <c r="BL396" s="28"/>
      <c r="BM396" s="28"/>
      <c r="BN396" s="28"/>
      <c r="BO396" s="28"/>
    </row>
    <row r="397">
      <c r="A397" s="1"/>
      <c r="B397" s="1"/>
      <c r="C397" s="1"/>
      <c r="D397" s="1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  <c r="BG397" s="28"/>
      <c r="BH397" s="46"/>
      <c r="BI397" s="29"/>
      <c r="BJ397" s="28"/>
      <c r="BK397" s="28"/>
      <c r="BL397" s="28"/>
      <c r="BM397" s="28"/>
      <c r="BN397" s="28"/>
      <c r="BO397" s="28"/>
    </row>
    <row r="398">
      <c r="A398" s="1"/>
      <c r="B398" s="1"/>
      <c r="C398" s="1"/>
      <c r="D398" s="1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  <c r="BG398" s="28"/>
      <c r="BH398" s="46"/>
      <c r="BI398" s="29"/>
      <c r="BJ398" s="28"/>
      <c r="BK398" s="28"/>
      <c r="BL398" s="28"/>
      <c r="BM398" s="28"/>
      <c r="BN398" s="28"/>
      <c r="BO398" s="28"/>
    </row>
    <row r="399">
      <c r="A399" s="1"/>
      <c r="B399" s="1"/>
      <c r="C399" s="1"/>
      <c r="D399" s="1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  <c r="BG399" s="28"/>
      <c r="BH399" s="46"/>
      <c r="BI399" s="29"/>
      <c r="BJ399" s="28"/>
      <c r="BK399" s="28"/>
      <c r="BL399" s="28"/>
      <c r="BM399" s="28"/>
      <c r="BN399" s="28"/>
      <c r="BO399" s="28"/>
    </row>
    <row r="400">
      <c r="A400" s="1"/>
      <c r="B400" s="1"/>
      <c r="C400" s="1"/>
      <c r="D400" s="1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46"/>
      <c r="BI400" s="29"/>
      <c r="BJ400" s="28"/>
      <c r="BK400" s="28"/>
      <c r="BL400" s="28"/>
      <c r="BM400" s="28"/>
      <c r="BN400" s="28"/>
      <c r="BO400" s="28"/>
    </row>
    <row r="401">
      <c r="A401" s="1"/>
      <c r="B401" s="1"/>
      <c r="C401" s="1"/>
      <c r="D401" s="1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46"/>
      <c r="BI401" s="29"/>
      <c r="BJ401" s="28"/>
      <c r="BK401" s="28"/>
      <c r="BL401" s="28"/>
      <c r="BM401" s="28"/>
      <c r="BN401" s="28"/>
      <c r="BO401" s="28"/>
    </row>
    <row r="402">
      <c r="A402" s="1"/>
      <c r="B402" s="1"/>
      <c r="C402" s="1"/>
      <c r="D402" s="1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46"/>
      <c r="BI402" s="29"/>
      <c r="BJ402" s="28"/>
      <c r="BK402" s="28"/>
      <c r="BL402" s="28"/>
      <c r="BM402" s="28"/>
      <c r="BN402" s="28"/>
      <c r="BO402" s="28"/>
    </row>
    <row r="403">
      <c r="A403" s="1"/>
      <c r="B403" s="1"/>
      <c r="C403" s="1"/>
      <c r="D403" s="1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46"/>
      <c r="BI403" s="29"/>
      <c r="BJ403" s="28"/>
      <c r="BK403" s="28"/>
      <c r="BL403" s="28"/>
      <c r="BM403" s="28"/>
      <c r="BN403" s="28"/>
      <c r="BO403" s="28"/>
    </row>
    <row r="404">
      <c r="A404" s="1"/>
      <c r="B404" s="1"/>
      <c r="C404" s="1"/>
      <c r="D404" s="1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  <c r="BG404" s="28"/>
      <c r="BH404" s="46"/>
      <c r="BI404" s="29"/>
      <c r="BJ404" s="28"/>
      <c r="BK404" s="28"/>
      <c r="BL404" s="28"/>
      <c r="BM404" s="28"/>
      <c r="BN404" s="28"/>
      <c r="BO404" s="28"/>
    </row>
    <row r="405">
      <c r="A405" s="1"/>
      <c r="B405" s="1"/>
      <c r="C405" s="1"/>
      <c r="D405" s="1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  <c r="BG405" s="28"/>
      <c r="BH405" s="46"/>
      <c r="BI405" s="29"/>
      <c r="BJ405" s="28"/>
      <c r="BK405" s="28"/>
      <c r="BL405" s="28"/>
      <c r="BM405" s="28"/>
      <c r="BN405" s="28"/>
      <c r="BO405" s="28"/>
    </row>
    <row r="406">
      <c r="A406" s="1"/>
      <c r="B406" s="1"/>
      <c r="C406" s="1"/>
      <c r="D406" s="1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  <c r="BG406" s="28"/>
      <c r="BH406" s="46"/>
      <c r="BI406" s="29"/>
      <c r="BJ406" s="28"/>
      <c r="BK406" s="28"/>
      <c r="BL406" s="28"/>
      <c r="BM406" s="28"/>
      <c r="BN406" s="28"/>
      <c r="BO406" s="28"/>
    </row>
    <row r="407">
      <c r="A407" s="1"/>
      <c r="B407" s="1"/>
      <c r="C407" s="1"/>
      <c r="D407" s="1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  <c r="BH407" s="46"/>
      <c r="BI407" s="29"/>
      <c r="BJ407" s="28"/>
      <c r="BK407" s="28"/>
      <c r="BL407" s="28"/>
      <c r="BM407" s="28"/>
      <c r="BN407" s="28"/>
      <c r="BO407" s="28"/>
    </row>
    <row r="408">
      <c r="A408" s="1"/>
      <c r="B408" s="1"/>
      <c r="C408" s="1"/>
      <c r="D408" s="1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  <c r="BG408" s="28"/>
      <c r="BH408" s="46"/>
      <c r="BI408" s="29"/>
      <c r="BJ408" s="28"/>
      <c r="BK408" s="28"/>
      <c r="BL408" s="28"/>
      <c r="BM408" s="28"/>
      <c r="BN408" s="28"/>
      <c r="BO408" s="28"/>
    </row>
    <row r="409">
      <c r="A409" s="1"/>
      <c r="B409" s="1"/>
      <c r="C409" s="1"/>
      <c r="D409" s="1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  <c r="BH409" s="46"/>
      <c r="BI409" s="29"/>
      <c r="BJ409" s="28"/>
      <c r="BK409" s="28"/>
      <c r="BL409" s="28"/>
      <c r="BM409" s="28"/>
      <c r="BN409" s="28"/>
      <c r="BO409" s="28"/>
    </row>
    <row r="410">
      <c r="A410" s="1"/>
      <c r="B410" s="1"/>
      <c r="C410" s="1"/>
      <c r="D410" s="1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  <c r="BG410" s="28"/>
      <c r="BH410" s="46"/>
      <c r="BI410" s="29"/>
      <c r="BJ410" s="28"/>
      <c r="BK410" s="28"/>
      <c r="BL410" s="28"/>
      <c r="BM410" s="28"/>
      <c r="BN410" s="28"/>
      <c r="BO410" s="28"/>
    </row>
    <row r="411">
      <c r="A411" s="1"/>
      <c r="B411" s="1"/>
      <c r="C411" s="1"/>
      <c r="D411" s="1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  <c r="BG411" s="28"/>
      <c r="BH411" s="46"/>
      <c r="BI411" s="29"/>
      <c r="BJ411" s="28"/>
      <c r="BK411" s="28"/>
      <c r="BL411" s="28"/>
      <c r="BM411" s="28"/>
      <c r="BN411" s="28"/>
      <c r="BO411" s="28"/>
    </row>
    <row r="412">
      <c r="A412" s="1"/>
      <c r="B412" s="1"/>
      <c r="C412" s="1"/>
      <c r="D412" s="1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  <c r="BG412" s="28"/>
      <c r="BH412" s="46"/>
      <c r="BI412" s="29"/>
      <c r="BJ412" s="28"/>
      <c r="BK412" s="28"/>
      <c r="BL412" s="28"/>
      <c r="BM412" s="28"/>
      <c r="BN412" s="28"/>
      <c r="BO412" s="28"/>
    </row>
    <row r="413">
      <c r="A413" s="1"/>
      <c r="B413" s="1"/>
      <c r="C413" s="1"/>
      <c r="D413" s="1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  <c r="BG413" s="28"/>
      <c r="BH413" s="46"/>
      <c r="BI413" s="29"/>
      <c r="BJ413" s="28"/>
      <c r="BK413" s="28"/>
      <c r="BL413" s="28"/>
      <c r="BM413" s="28"/>
      <c r="BN413" s="28"/>
      <c r="BO413" s="28"/>
    </row>
    <row r="414">
      <c r="A414" s="1"/>
      <c r="B414" s="1"/>
      <c r="C414" s="1"/>
      <c r="D414" s="1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  <c r="BG414" s="28"/>
      <c r="BH414" s="46"/>
      <c r="BI414" s="29"/>
      <c r="BJ414" s="28"/>
      <c r="BK414" s="28"/>
      <c r="BL414" s="28"/>
      <c r="BM414" s="28"/>
      <c r="BN414" s="28"/>
      <c r="BO414" s="28"/>
    </row>
    <row r="415">
      <c r="A415" s="1"/>
      <c r="B415" s="1"/>
      <c r="C415" s="1"/>
      <c r="D415" s="1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  <c r="BG415" s="28"/>
      <c r="BH415" s="46"/>
      <c r="BI415" s="29"/>
      <c r="BJ415" s="28"/>
      <c r="BK415" s="28"/>
      <c r="BL415" s="28"/>
      <c r="BM415" s="28"/>
      <c r="BN415" s="28"/>
      <c r="BO415" s="28"/>
    </row>
    <row r="416">
      <c r="A416" s="1"/>
      <c r="B416" s="1"/>
      <c r="C416" s="1"/>
      <c r="D416" s="1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  <c r="BG416" s="28"/>
      <c r="BH416" s="46"/>
      <c r="BI416" s="29"/>
      <c r="BJ416" s="28"/>
      <c r="BK416" s="28"/>
      <c r="BL416" s="28"/>
      <c r="BM416" s="28"/>
      <c r="BN416" s="28"/>
      <c r="BO416" s="28"/>
    </row>
    <row r="417">
      <c r="A417" s="1"/>
      <c r="B417" s="1"/>
      <c r="C417" s="1"/>
      <c r="D417" s="1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  <c r="BH417" s="46"/>
      <c r="BI417" s="29"/>
      <c r="BJ417" s="28"/>
      <c r="BK417" s="28"/>
      <c r="BL417" s="28"/>
      <c r="BM417" s="28"/>
      <c r="BN417" s="28"/>
      <c r="BO417" s="28"/>
    </row>
    <row r="418">
      <c r="A418" s="1"/>
      <c r="B418" s="1"/>
      <c r="C418" s="1"/>
      <c r="D418" s="1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  <c r="BG418" s="28"/>
      <c r="BH418" s="46"/>
      <c r="BI418" s="29"/>
      <c r="BJ418" s="28"/>
      <c r="BK418" s="28"/>
      <c r="BL418" s="28"/>
      <c r="BM418" s="28"/>
      <c r="BN418" s="28"/>
      <c r="BO418" s="28"/>
    </row>
    <row r="419">
      <c r="A419" s="1"/>
      <c r="B419" s="1"/>
      <c r="C419" s="1"/>
      <c r="D419" s="1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  <c r="BG419" s="28"/>
      <c r="BH419" s="46"/>
      <c r="BI419" s="29"/>
      <c r="BJ419" s="28"/>
      <c r="BK419" s="28"/>
      <c r="BL419" s="28"/>
      <c r="BM419" s="28"/>
      <c r="BN419" s="28"/>
      <c r="BO419" s="28"/>
    </row>
    <row r="420">
      <c r="A420" s="1"/>
      <c r="B420" s="1"/>
      <c r="C420" s="1"/>
      <c r="D420" s="1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  <c r="BG420" s="28"/>
      <c r="BH420" s="46"/>
      <c r="BI420" s="29"/>
      <c r="BJ420" s="28"/>
      <c r="BK420" s="28"/>
      <c r="BL420" s="28"/>
      <c r="BM420" s="28"/>
      <c r="BN420" s="28"/>
      <c r="BO420" s="28"/>
    </row>
    <row r="421">
      <c r="A421" s="1"/>
      <c r="B421" s="1"/>
      <c r="C421" s="1"/>
      <c r="D421" s="1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  <c r="BG421" s="28"/>
      <c r="BH421" s="46"/>
      <c r="BI421" s="29"/>
      <c r="BJ421" s="28"/>
      <c r="BK421" s="28"/>
      <c r="BL421" s="28"/>
      <c r="BM421" s="28"/>
      <c r="BN421" s="28"/>
      <c r="BO421" s="28"/>
    </row>
    <row r="422">
      <c r="A422" s="1"/>
      <c r="B422" s="1"/>
      <c r="C422" s="1"/>
      <c r="D422" s="1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  <c r="BG422" s="28"/>
      <c r="BH422" s="46"/>
      <c r="BI422" s="29"/>
      <c r="BJ422" s="28"/>
      <c r="BK422" s="28"/>
      <c r="BL422" s="28"/>
      <c r="BM422" s="28"/>
      <c r="BN422" s="28"/>
      <c r="BO422" s="28"/>
    </row>
    <row r="423">
      <c r="A423" s="1"/>
      <c r="B423" s="1"/>
      <c r="C423" s="1"/>
      <c r="D423" s="1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  <c r="BG423" s="28"/>
      <c r="BH423" s="46"/>
      <c r="BI423" s="29"/>
      <c r="BJ423" s="28"/>
      <c r="BK423" s="28"/>
      <c r="BL423" s="28"/>
      <c r="BM423" s="28"/>
      <c r="BN423" s="28"/>
      <c r="BO423" s="28"/>
    </row>
    <row r="424">
      <c r="A424" s="1"/>
      <c r="B424" s="1"/>
      <c r="C424" s="1"/>
      <c r="D424" s="1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  <c r="BG424" s="28"/>
      <c r="BH424" s="46"/>
      <c r="BI424" s="29"/>
      <c r="BJ424" s="28"/>
      <c r="BK424" s="28"/>
      <c r="BL424" s="28"/>
      <c r="BM424" s="28"/>
      <c r="BN424" s="28"/>
      <c r="BO424" s="28"/>
    </row>
    <row r="425">
      <c r="A425" s="1"/>
      <c r="B425" s="1"/>
      <c r="C425" s="1"/>
      <c r="D425" s="1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  <c r="BG425" s="28"/>
      <c r="BH425" s="46"/>
      <c r="BI425" s="29"/>
      <c r="BJ425" s="28"/>
      <c r="BK425" s="28"/>
      <c r="BL425" s="28"/>
      <c r="BM425" s="28"/>
      <c r="BN425" s="28"/>
      <c r="BO425" s="28"/>
    </row>
    <row r="426">
      <c r="A426" s="1"/>
      <c r="B426" s="1"/>
      <c r="C426" s="1"/>
      <c r="D426" s="1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  <c r="BG426" s="28"/>
      <c r="BH426" s="46"/>
      <c r="BI426" s="29"/>
      <c r="BJ426" s="28"/>
      <c r="BK426" s="28"/>
      <c r="BL426" s="28"/>
      <c r="BM426" s="28"/>
      <c r="BN426" s="28"/>
      <c r="BO426" s="28"/>
    </row>
    <row r="427">
      <c r="A427" s="1"/>
      <c r="B427" s="1"/>
      <c r="C427" s="1"/>
      <c r="D427" s="1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  <c r="BG427" s="28"/>
      <c r="BH427" s="46"/>
      <c r="BI427" s="29"/>
      <c r="BJ427" s="28"/>
      <c r="BK427" s="28"/>
      <c r="BL427" s="28"/>
      <c r="BM427" s="28"/>
      <c r="BN427" s="28"/>
      <c r="BO427" s="28"/>
    </row>
    <row r="428">
      <c r="A428" s="1"/>
      <c r="B428" s="1"/>
      <c r="C428" s="1"/>
      <c r="D428" s="1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  <c r="BG428" s="28"/>
      <c r="BH428" s="46"/>
      <c r="BI428" s="29"/>
      <c r="BJ428" s="28"/>
      <c r="BK428" s="28"/>
      <c r="BL428" s="28"/>
      <c r="BM428" s="28"/>
      <c r="BN428" s="28"/>
      <c r="BO428" s="28"/>
    </row>
    <row r="429">
      <c r="A429" s="1"/>
      <c r="B429" s="1"/>
      <c r="C429" s="1"/>
      <c r="D429" s="1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  <c r="BH429" s="46"/>
      <c r="BI429" s="29"/>
      <c r="BJ429" s="28"/>
      <c r="BK429" s="28"/>
      <c r="BL429" s="28"/>
      <c r="BM429" s="28"/>
      <c r="BN429" s="28"/>
      <c r="BO429" s="28"/>
    </row>
    <row r="430">
      <c r="A430" s="1"/>
      <c r="B430" s="1"/>
      <c r="C430" s="1"/>
      <c r="D430" s="1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  <c r="BG430" s="28"/>
      <c r="BH430" s="46"/>
      <c r="BI430" s="29"/>
      <c r="BJ430" s="28"/>
      <c r="BK430" s="28"/>
      <c r="BL430" s="28"/>
      <c r="BM430" s="28"/>
      <c r="BN430" s="28"/>
      <c r="BO430" s="28"/>
    </row>
    <row r="431">
      <c r="A431" s="1"/>
      <c r="B431" s="1"/>
      <c r="C431" s="1"/>
      <c r="D431" s="1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46"/>
      <c r="BI431" s="29"/>
      <c r="BJ431" s="28"/>
      <c r="BK431" s="28"/>
      <c r="BL431" s="28"/>
      <c r="BM431" s="28"/>
      <c r="BN431" s="28"/>
      <c r="BO431" s="28"/>
    </row>
    <row r="432">
      <c r="A432" s="1"/>
      <c r="B432" s="1"/>
      <c r="C432" s="1"/>
      <c r="D432" s="1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  <c r="BG432" s="28"/>
      <c r="BH432" s="46"/>
      <c r="BI432" s="29"/>
      <c r="BJ432" s="28"/>
      <c r="BK432" s="28"/>
      <c r="BL432" s="28"/>
      <c r="BM432" s="28"/>
      <c r="BN432" s="28"/>
      <c r="BO432" s="28"/>
    </row>
    <row r="433">
      <c r="A433" s="1"/>
      <c r="B433" s="1"/>
      <c r="C433" s="1"/>
      <c r="D433" s="1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  <c r="BG433" s="28"/>
      <c r="BH433" s="46"/>
      <c r="BI433" s="29"/>
      <c r="BJ433" s="28"/>
      <c r="BK433" s="28"/>
      <c r="BL433" s="28"/>
      <c r="BM433" s="28"/>
      <c r="BN433" s="28"/>
      <c r="BO433" s="28"/>
    </row>
    <row r="434">
      <c r="A434" s="1"/>
      <c r="B434" s="1"/>
      <c r="C434" s="1"/>
      <c r="D434" s="1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  <c r="BG434" s="28"/>
      <c r="BH434" s="46"/>
      <c r="BI434" s="29"/>
      <c r="BJ434" s="28"/>
      <c r="BK434" s="28"/>
      <c r="BL434" s="28"/>
      <c r="BM434" s="28"/>
      <c r="BN434" s="28"/>
      <c r="BO434" s="28"/>
    </row>
    <row r="435">
      <c r="A435" s="1"/>
      <c r="B435" s="1"/>
      <c r="C435" s="1"/>
      <c r="D435" s="1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  <c r="BG435" s="28"/>
      <c r="BH435" s="46"/>
      <c r="BI435" s="29"/>
      <c r="BJ435" s="28"/>
      <c r="BK435" s="28"/>
      <c r="BL435" s="28"/>
      <c r="BM435" s="28"/>
      <c r="BN435" s="28"/>
      <c r="BO435" s="28"/>
    </row>
    <row r="436">
      <c r="A436" s="1"/>
      <c r="B436" s="1"/>
      <c r="C436" s="1"/>
      <c r="D436" s="1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  <c r="BG436" s="28"/>
      <c r="BH436" s="46"/>
      <c r="BI436" s="29"/>
      <c r="BJ436" s="28"/>
      <c r="BK436" s="28"/>
      <c r="BL436" s="28"/>
      <c r="BM436" s="28"/>
      <c r="BN436" s="28"/>
      <c r="BO436" s="28"/>
    </row>
    <row r="437">
      <c r="A437" s="1"/>
      <c r="B437" s="1"/>
      <c r="C437" s="1"/>
      <c r="D437" s="1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  <c r="BG437" s="28"/>
      <c r="BH437" s="46"/>
      <c r="BI437" s="29"/>
      <c r="BJ437" s="28"/>
      <c r="BK437" s="28"/>
      <c r="BL437" s="28"/>
      <c r="BM437" s="28"/>
      <c r="BN437" s="28"/>
      <c r="BO437" s="28"/>
    </row>
    <row r="438">
      <c r="A438" s="1"/>
      <c r="B438" s="1"/>
      <c r="C438" s="1"/>
      <c r="D438" s="1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  <c r="BG438" s="28"/>
      <c r="BH438" s="46"/>
      <c r="BI438" s="29"/>
      <c r="BJ438" s="28"/>
      <c r="BK438" s="28"/>
      <c r="BL438" s="28"/>
      <c r="BM438" s="28"/>
      <c r="BN438" s="28"/>
      <c r="BO438" s="28"/>
    </row>
    <row r="439">
      <c r="A439" s="1"/>
      <c r="B439" s="1"/>
      <c r="C439" s="1"/>
      <c r="D439" s="1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  <c r="BH439" s="46"/>
      <c r="BI439" s="29"/>
      <c r="BJ439" s="28"/>
      <c r="BK439" s="28"/>
      <c r="BL439" s="28"/>
      <c r="BM439" s="28"/>
      <c r="BN439" s="28"/>
      <c r="BO439" s="28"/>
    </row>
    <row r="440">
      <c r="A440" s="1"/>
      <c r="B440" s="1"/>
      <c r="C440" s="1"/>
      <c r="D440" s="1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  <c r="BG440" s="28"/>
      <c r="BH440" s="46"/>
      <c r="BI440" s="29"/>
      <c r="BJ440" s="28"/>
      <c r="BK440" s="28"/>
      <c r="BL440" s="28"/>
      <c r="BM440" s="28"/>
      <c r="BN440" s="28"/>
      <c r="BO440" s="28"/>
    </row>
    <row r="441">
      <c r="A441" s="1"/>
      <c r="B441" s="1"/>
      <c r="C441" s="1"/>
      <c r="D441" s="1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46"/>
      <c r="BI441" s="29"/>
      <c r="BJ441" s="28"/>
      <c r="BK441" s="28"/>
      <c r="BL441" s="28"/>
      <c r="BM441" s="28"/>
      <c r="BN441" s="28"/>
      <c r="BO441" s="28"/>
    </row>
    <row r="442">
      <c r="A442" s="1"/>
      <c r="B442" s="1"/>
      <c r="C442" s="1"/>
      <c r="D442" s="1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  <c r="BG442" s="28"/>
      <c r="BH442" s="46"/>
      <c r="BI442" s="29"/>
      <c r="BJ442" s="28"/>
      <c r="BK442" s="28"/>
      <c r="BL442" s="28"/>
      <c r="BM442" s="28"/>
      <c r="BN442" s="28"/>
      <c r="BO442" s="28"/>
    </row>
    <row r="443">
      <c r="A443" s="1"/>
      <c r="B443" s="1"/>
      <c r="C443" s="1"/>
      <c r="D443" s="1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  <c r="BG443" s="28"/>
      <c r="BH443" s="46"/>
      <c r="BI443" s="29"/>
      <c r="BJ443" s="28"/>
      <c r="BK443" s="28"/>
      <c r="BL443" s="28"/>
      <c r="BM443" s="28"/>
      <c r="BN443" s="28"/>
      <c r="BO443" s="28"/>
    </row>
    <row r="444">
      <c r="A444" s="1"/>
      <c r="B444" s="1"/>
      <c r="C444" s="1"/>
      <c r="D444" s="1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  <c r="BG444" s="28"/>
      <c r="BH444" s="46"/>
      <c r="BI444" s="29"/>
      <c r="BJ444" s="28"/>
      <c r="BK444" s="28"/>
      <c r="BL444" s="28"/>
      <c r="BM444" s="28"/>
      <c r="BN444" s="28"/>
      <c r="BO444" s="28"/>
    </row>
    <row r="445">
      <c r="A445" s="1"/>
      <c r="B445" s="1"/>
      <c r="C445" s="1"/>
      <c r="D445" s="1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  <c r="BG445" s="28"/>
      <c r="BH445" s="46"/>
      <c r="BI445" s="29"/>
      <c r="BJ445" s="28"/>
      <c r="BK445" s="28"/>
      <c r="BL445" s="28"/>
      <c r="BM445" s="28"/>
      <c r="BN445" s="28"/>
      <c r="BO445" s="28"/>
    </row>
    <row r="446">
      <c r="A446" s="1"/>
      <c r="B446" s="1"/>
      <c r="C446" s="1"/>
      <c r="D446" s="1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  <c r="BG446" s="28"/>
      <c r="BH446" s="46"/>
      <c r="BI446" s="29"/>
      <c r="BJ446" s="28"/>
      <c r="BK446" s="28"/>
      <c r="BL446" s="28"/>
      <c r="BM446" s="28"/>
      <c r="BN446" s="28"/>
      <c r="BO446" s="28"/>
    </row>
    <row r="447">
      <c r="A447" s="1"/>
      <c r="B447" s="1"/>
      <c r="C447" s="1"/>
      <c r="D447" s="1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  <c r="BH447" s="46"/>
      <c r="BI447" s="29"/>
      <c r="BJ447" s="28"/>
      <c r="BK447" s="28"/>
      <c r="BL447" s="28"/>
      <c r="BM447" s="28"/>
      <c r="BN447" s="28"/>
      <c r="BO447" s="28"/>
    </row>
    <row r="448">
      <c r="A448" s="1"/>
      <c r="B448" s="1"/>
      <c r="C448" s="1"/>
      <c r="D448" s="1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  <c r="BH448" s="46"/>
      <c r="BI448" s="29"/>
      <c r="BJ448" s="28"/>
      <c r="BK448" s="28"/>
      <c r="BL448" s="28"/>
      <c r="BM448" s="28"/>
      <c r="BN448" s="28"/>
      <c r="BO448" s="28"/>
    </row>
    <row r="449">
      <c r="A449" s="1"/>
      <c r="B449" s="1"/>
      <c r="C449" s="1"/>
      <c r="D449" s="1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46"/>
      <c r="BI449" s="29"/>
      <c r="BJ449" s="28"/>
      <c r="BK449" s="28"/>
      <c r="BL449" s="28"/>
      <c r="BM449" s="28"/>
      <c r="BN449" s="28"/>
      <c r="BO449" s="28"/>
    </row>
    <row r="450">
      <c r="A450" s="1"/>
      <c r="B450" s="1"/>
      <c r="C450" s="1"/>
      <c r="D450" s="1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  <c r="BG450" s="28"/>
      <c r="BH450" s="46"/>
      <c r="BI450" s="29"/>
      <c r="BJ450" s="28"/>
      <c r="BK450" s="28"/>
      <c r="BL450" s="28"/>
      <c r="BM450" s="28"/>
      <c r="BN450" s="28"/>
      <c r="BO450" s="28"/>
    </row>
    <row r="451">
      <c r="A451" s="1"/>
      <c r="B451" s="1"/>
      <c r="C451" s="1"/>
      <c r="D451" s="1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46"/>
      <c r="BI451" s="29"/>
      <c r="BJ451" s="28"/>
      <c r="BK451" s="28"/>
      <c r="BL451" s="28"/>
      <c r="BM451" s="28"/>
      <c r="BN451" s="28"/>
      <c r="BO451" s="28"/>
    </row>
    <row r="452">
      <c r="A452" s="1"/>
      <c r="B452" s="1"/>
      <c r="C452" s="1"/>
      <c r="D452" s="1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46"/>
      <c r="BI452" s="29"/>
      <c r="BJ452" s="28"/>
      <c r="BK452" s="28"/>
      <c r="BL452" s="28"/>
      <c r="BM452" s="28"/>
      <c r="BN452" s="28"/>
      <c r="BO452" s="28"/>
    </row>
    <row r="453">
      <c r="A453" s="1"/>
      <c r="B453" s="1"/>
      <c r="C453" s="1"/>
      <c r="D453" s="1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46"/>
      <c r="BI453" s="29"/>
      <c r="BJ453" s="28"/>
      <c r="BK453" s="28"/>
      <c r="BL453" s="28"/>
      <c r="BM453" s="28"/>
      <c r="BN453" s="28"/>
      <c r="BO453" s="28"/>
    </row>
    <row r="454">
      <c r="A454" s="1"/>
      <c r="B454" s="1"/>
      <c r="C454" s="1"/>
      <c r="D454" s="1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46"/>
      <c r="BI454" s="29"/>
      <c r="BJ454" s="28"/>
      <c r="BK454" s="28"/>
      <c r="BL454" s="28"/>
      <c r="BM454" s="28"/>
      <c r="BN454" s="28"/>
      <c r="BO454" s="28"/>
    </row>
    <row r="455">
      <c r="A455" s="1"/>
      <c r="B455" s="1"/>
      <c r="C455" s="1"/>
      <c r="D455" s="1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46"/>
      <c r="BI455" s="29"/>
      <c r="BJ455" s="28"/>
      <c r="BK455" s="28"/>
      <c r="BL455" s="28"/>
      <c r="BM455" s="28"/>
      <c r="BN455" s="28"/>
      <c r="BO455" s="28"/>
    </row>
    <row r="456">
      <c r="A456" s="1"/>
      <c r="B456" s="1"/>
      <c r="C456" s="1"/>
      <c r="D456" s="1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  <c r="BG456" s="28"/>
      <c r="BH456" s="46"/>
      <c r="BI456" s="29"/>
      <c r="BJ456" s="28"/>
      <c r="BK456" s="28"/>
      <c r="BL456" s="28"/>
      <c r="BM456" s="28"/>
      <c r="BN456" s="28"/>
      <c r="BO456" s="28"/>
    </row>
    <row r="457">
      <c r="A457" s="1"/>
      <c r="B457" s="1"/>
      <c r="C457" s="1"/>
      <c r="D457" s="1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46"/>
      <c r="BI457" s="29"/>
      <c r="BJ457" s="28"/>
      <c r="BK457" s="28"/>
      <c r="BL457" s="28"/>
      <c r="BM457" s="28"/>
      <c r="BN457" s="28"/>
      <c r="BO457" s="28"/>
    </row>
    <row r="458">
      <c r="A458" s="1"/>
      <c r="B458" s="1"/>
      <c r="C458" s="1"/>
      <c r="D458" s="1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46"/>
      <c r="BI458" s="29"/>
      <c r="BJ458" s="28"/>
      <c r="BK458" s="28"/>
      <c r="BL458" s="28"/>
      <c r="BM458" s="28"/>
      <c r="BN458" s="28"/>
      <c r="BO458" s="28"/>
    </row>
    <row r="459">
      <c r="A459" s="1"/>
      <c r="B459" s="1"/>
      <c r="C459" s="1"/>
      <c r="D459" s="1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  <c r="BH459" s="46"/>
      <c r="BI459" s="29"/>
      <c r="BJ459" s="28"/>
      <c r="BK459" s="28"/>
      <c r="BL459" s="28"/>
      <c r="BM459" s="28"/>
      <c r="BN459" s="28"/>
      <c r="BO459" s="28"/>
    </row>
    <row r="460">
      <c r="A460" s="1"/>
      <c r="B460" s="1"/>
      <c r="C460" s="1"/>
      <c r="D460" s="1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46"/>
      <c r="BI460" s="29"/>
      <c r="BJ460" s="28"/>
      <c r="BK460" s="28"/>
      <c r="BL460" s="28"/>
      <c r="BM460" s="28"/>
      <c r="BN460" s="28"/>
      <c r="BO460" s="28"/>
    </row>
    <row r="461">
      <c r="A461" s="1"/>
      <c r="B461" s="1"/>
      <c r="C461" s="1"/>
      <c r="D461" s="1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  <c r="BH461" s="46"/>
      <c r="BI461" s="29"/>
      <c r="BJ461" s="28"/>
      <c r="BK461" s="28"/>
      <c r="BL461" s="28"/>
      <c r="BM461" s="28"/>
      <c r="BN461" s="28"/>
      <c r="BO461" s="28"/>
    </row>
    <row r="462">
      <c r="A462" s="1"/>
      <c r="B462" s="1"/>
      <c r="C462" s="1"/>
      <c r="D462" s="1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  <c r="BG462" s="28"/>
      <c r="BH462" s="46"/>
      <c r="BI462" s="29"/>
      <c r="BJ462" s="28"/>
      <c r="BK462" s="28"/>
      <c r="BL462" s="28"/>
      <c r="BM462" s="28"/>
      <c r="BN462" s="28"/>
      <c r="BO462" s="28"/>
    </row>
    <row r="463">
      <c r="A463" s="1"/>
      <c r="B463" s="1"/>
      <c r="C463" s="1"/>
      <c r="D463" s="1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46"/>
      <c r="BI463" s="29"/>
      <c r="BJ463" s="28"/>
      <c r="BK463" s="28"/>
      <c r="BL463" s="28"/>
      <c r="BM463" s="28"/>
      <c r="BN463" s="28"/>
      <c r="BO463" s="28"/>
    </row>
    <row r="464">
      <c r="A464" s="1"/>
      <c r="B464" s="1"/>
      <c r="C464" s="1"/>
      <c r="D464" s="1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  <c r="BG464" s="28"/>
      <c r="BH464" s="46"/>
      <c r="BI464" s="29"/>
      <c r="BJ464" s="28"/>
      <c r="BK464" s="28"/>
      <c r="BL464" s="28"/>
      <c r="BM464" s="28"/>
      <c r="BN464" s="28"/>
      <c r="BO464" s="28"/>
    </row>
    <row r="465">
      <c r="A465" s="1"/>
      <c r="B465" s="1"/>
      <c r="C465" s="1"/>
      <c r="D465" s="1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  <c r="BG465" s="28"/>
      <c r="BH465" s="46"/>
      <c r="BI465" s="29"/>
      <c r="BJ465" s="28"/>
      <c r="BK465" s="28"/>
      <c r="BL465" s="28"/>
      <c r="BM465" s="28"/>
      <c r="BN465" s="28"/>
      <c r="BO465" s="28"/>
    </row>
    <row r="466">
      <c r="A466" s="1"/>
      <c r="B466" s="1"/>
      <c r="C466" s="1"/>
      <c r="D466" s="1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  <c r="BH466" s="46"/>
      <c r="BI466" s="29"/>
      <c r="BJ466" s="28"/>
      <c r="BK466" s="28"/>
      <c r="BL466" s="28"/>
      <c r="BM466" s="28"/>
      <c r="BN466" s="28"/>
      <c r="BO466" s="28"/>
    </row>
    <row r="467">
      <c r="A467" s="1"/>
      <c r="B467" s="1"/>
      <c r="C467" s="1"/>
      <c r="D467" s="1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  <c r="BH467" s="46"/>
      <c r="BI467" s="29"/>
      <c r="BJ467" s="28"/>
      <c r="BK467" s="28"/>
      <c r="BL467" s="28"/>
      <c r="BM467" s="28"/>
      <c r="BN467" s="28"/>
      <c r="BO467" s="28"/>
    </row>
    <row r="468">
      <c r="A468" s="1"/>
      <c r="B468" s="1"/>
      <c r="C468" s="1"/>
      <c r="D468" s="1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  <c r="BG468" s="28"/>
      <c r="BH468" s="46"/>
      <c r="BI468" s="29"/>
      <c r="BJ468" s="28"/>
      <c r="BK468" s="28"/>
      <c r="BL468" s="28"/>
      <c r="BM468" s="28"/>
      <c r="BN468" s="28"/>
      <c r="BO468" s="28"/>
    </row>
    <row r="469">
      <c r="A469" s="1"/>
      <c r="B469" s="1"/>
      <c r="C469" s="1"/>
      <c r="D469" s="1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46"/>
      <c r="BI469" s="29"/>
      <c r="BJ469" s="28"/>
      <c r="BK469" s="28"/>
      <c r="BL469" s="28"/>
      <c r="BM469" s="28"/>
      <c r="BN469" s="28"/>
      <c r="BO469" s="28"/>
    </row>
    <row r="470">
      <c r="A470" s="1"/>
      <c r="B470" s="1"/>
      <c r="C470" s="1"/>
      <c r="D470" s="1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  <c r="BG470" s="28"/>
      <c r="BH470" s="46"/>
      <c r="BI470" s="29"/>
      <c r="BJ470" s="28"/>
      <c r="BK470" s="28"/>
      <c r="BL470" s="28"/>
      <c r="BM470" s="28"/>
      <c r="BN470" s="28"/>
      <c r="BO470" s="28"/>
    </row>
    <row r="471">
      <c r="A471" s="1"/>
      <c r="B471" s="1"/>
      <c r="C471" s="1"/>
      <c r="D471" s="1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  <c r="BG471" s="28"/>
      <c r="BH471" s="46"/>
      <c r="BI471" s="29"/>
      <c r="BJ471" s="28"/>
      <c r="BK471" s="28"/>
      <c r="BL471" s="28"/>
      <c r="BM471" s="28"/>
      <c r="BN471" s="28"/>
      <c r="BO471" s="28"/>
    </row>
    <row r="472">
      <c r="A472" s="1"/>
      <c r="B472" s="1"/>
      <c r="C472" s="1"/>
      <c r="D472" s="1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  <c r="BH472" s="46"/>
      <c r="BI472" s="29"/>
      <c r="BJ472" s="28"/>
      <c r="BK472" s="28"/>
      <c r="BL472" s="28"/>
      <c r="BM472" s="28"/>
      <c r="BN472" s="28"/>
      <c r="BO472" s="28"/>
    </row>
    <row r="473">
      <c r="A473" s="1"/>
      <c r="B473" s="1"/>
      <c r="C473" s="1"/>
      <c r="D473" s="1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46"/>
      <c r="BI473" s="29"/>
      <c r="BJ473" s="28"/>
      <c r="BK473" s="28"/>
      <c r="BL473" s="28"/>
      <c r="BM473" s="28"/>
      <c r="BN473" s="28"/>
      <c r="BO473" s="28"/>
    </row>
    <row r="474">
      <c r="A474" s="1"/>
      <c r="B474" s="1"/>
      <c r="C474" s="1"/>
      <c r="D474" s="1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  <c r="BG474" s="28"/>
      <c r="BH474" s="46"/>
      <c r="BI474" s="29"/>
      <c r="BJ474" s="28"/>
      <c r="BK474" s="28"/>
      <c r="BL474" s="28"/>
      <c r="BM474" s="28"/>
      <c r="BN474" s="28"/>
      <c r="BO474" s="28"/>
    </row>
    <row r="475">
      <c r="A475" s="1"/>
      <c r="B475" s="1"/>
      <c r="C475" s="1"/>
      <c r="D475" s="1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46"/>
      <c r="BI475" s="29"/>
      <c r="BJ475" s="28"/>
      <c r="BK475" s="28"/>
      <c r="BL475" s="28"/>
      <c r="BM475" s="28"/>
      <c r="BN475" s="28"/>
      <c r="BO475" s="28"/>
    </row>
    <row r="476">
      <c r="A476" s="1"/>
      <c r="B476" s="1"/>
      <c r="C476" s="1"/>
      <c r="D476" s="1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  <c r="BH476" s="46"/>
      <c r="BI476" s="29"/>
      <c r="BJ476" s="28"/>
      <c r="BK476" s="28"/>
      <c r="BL476" s="28"/>
      <c r="BM476" s="28"/>
      <c r="BN476" s="28"/>
      <c r="BO476" s="28"/>
    </row>
    <row r="477">
      <c r="A477" s="1"/>
      <c r="B477" s="1"/>
      <c r="C477" s="1"/>
      <c r="D477" s="1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  <c r="BH477" s="46"/>
      <c r="BI477" s="29"/>
      <c r="BJ477" s="28"/>
      <c r="BK477" s="28"/>
      <c r="BL477" s="28"/>
      <c r="BM477" s="28"/>
      <c r="BN477" s="28"/>
      <c r="BO477" s="28"/>
    </row>
    <row r="478">
      <c r="A478" s="1"/>
      <c r="B478" s="1"/>
      <c r="C478" s="1"/>
      <c r="D478" s="1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46"/>
      <c r="BI478" s="29"/>
      <c r="BJ478" s="28"/>
      <c r="BK478" s="28"/>
      <c r="BL478" s="28"/>
      <c r="BM478" s="28"/>
      <c r="BN478" s="28"/>
      <c r="BO478" s="28"/>
    </row>
    <row r="479">
      <c r="A479" s="1"/>
      <c r="B479" s="1"/>
      <c r="C479" s="1"/>
      <c r="D479" s="1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46"/>
      <c r="BI479" s="29"/>
      <c r="BJ479" s="28"/>
      <c r="BK479" s="28"/>
      <c r="BL479" s="28"/>
      <c r="BM479" s="28"/>
      <c r="BN479" s="28"/>
      <c r="BO479" s="28"/>
    </row>
    <row r="480">
      <c r="A480" s="1"/>
      <c r="B480" s="1"/>
      <c r="C480" s="1"/>
      <c r="D480" s="1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  <c r="BH480" s="46"/>
      <c r="BI480" s="29"/>
      <c r="BJ480" s="28"/>
      <c r="BK480" s="28"/>
      <c r="BL480" s="28"/>
      <c r="BM480" s="28"/>
      <c r="BN480" s="28"/>
      <c r="BO480" s="28"/>
    </row>
    <row r="481">
      <c r="A481" s="1"/>
      <c r="B481" s="1"/>
      <c r="C481" s="1"/>
      <c r="D481" s="1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46"/>
      <c r="BI481" s="29"/>
      <c r="BJ481" s="28"/>
      <c r="BK481" s="28"/>
      <c r="BL481" s="28"/>
      <c r="BM481" s="28"/>
      <c r="BN481" s="28"/>
      <c r="BO481" s="28"/>
    </row>
    <row r="482">
      <c r="A482" s="1"/>
      <c r="B482" s="1"/>
      <c r="C482" s="1"/>
      <c r="D482" s="1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  <c r="BH482" s="46"/>
      <c r="BI482" s="29"/>
      <c r="BJ482" s="28"/>
      <c r="BK482" s="28"/>
      <c r="BL482" s="28"/>
      <c r="BM482" s="28"/>
      <c r="BN482" s="28"/>
      <c r="BO482" s="28"/>
    </row>
    <row r="483">
      <c r="A483" s="1"/>
      <c r="B483" s="1"/>
      <c r="C483" s="1"/>
      <c r="D483" s="1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46"/>
      <c r="BI483" s="29"/>
      <c r="BJ483" s="28"/>
      <c r="BK483" s="28"/>
      <c r="BL483" s="28"/>
      <c r="BM483" s="28"/>
      <c r="BN483" s="28"/>
      <c r="BO483" s="28"/>
    </row>
    <row r="484">
      <c r="A484" s="1"/>
      <c r="B484" s="1"/>
      <c r="C484" s="1"/>
      <c r="D484" s="1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46"/>
      <c r="BI484" s="29"/>
      <c r="BJ484" s="28"/>
      <c r="BK484" s="28"/>
      <c r="BL484" s="28"/>
      <c r="BM484" s="28"/>
      <c r="BN484" s="28"/>
      <c r="BO484" s="28"/>
    </row>
    <row r="485">
      <c r="A485" s="1"/>
      <c r="B485" s="1"/>
      <c r="C485" s="1"/>
      <c r="D485" s="1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46"/>
      <c r="BI485" s="29"/>
      <c r="BJ485" s="28"/>
      <c r="BK485" s="28"/>
      <c r="BL485" s="28"/>
      <c r="BM485" s="28"/>
      <c r="BN485" s="28"/>
      <c r="BO485" s="28"/>
    </row>
    <row r="486">
      <c r="A486" s="1"/>
      <c r="B486" s="1"/>
      <c r="C486" s="1"/>
      <c r="D486" s="1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  <c r="BG486" s="28"/>
      <c r="BH486" s="46"/>
      <c r="BI486" s="29"/>
      <c r="BJ486" s="28"/>
      <c r="BK486" s="28"/>
      <c r="BL486" s="28"/>
      <c r="BM486" s="28"/>
      <c r="BN486" s="28"/>
      <c r="BO486" s="28"/>
    </row>
    <row r="487">
      <c r="A487" s="1"/>
      <c r="B487" s="1"/>
      <c r="C487" s="1"/>
      <c r="D487" s="1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46"/>
      <c r="BI487" s="29"/>
      <c r="BJ487" s="28"/>
      <c r="BK487" s="28"/>
      <c r="BL487" s="28"/>
      <c r="BM487" s="28"/>
      <c r="BN487" s="28"/>
      <c r="BO487" s="28"/>
    </row>
    <row r="488">
      <c r="A488" s="1"/>
      <c r="B488" s="1"/>
      <c r="C488" s="1"/>
      <c r="D488" s="1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  <c r="BH488" s="46"/>
      <c r="BI488" s="29"/>
      <c r="BJ488" s="28"/>
      <c r="BK488" s="28"/>
      <c r="BL488" s="28"/>
      <c r="BM488" s="28"/>
      <c r="BN488" s="28"/>
      <c r="BO488" s="28"/>
    </row>
    <row r="489">
      <c r="A489" s="1"/>
      <c r="B489" s="1"/>
      <c r="C489" s="1"/>
      <c r="D489" s="1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46"/>
      <c r="BI489" s="29"/>
      <c r="BJ489" s="28"/>
      <c r="BK489" s="28"/>
      <c r="BL489" s="28"/>
      <c r="BM489" s="28"/>
      <c r="BN489" s="28"/>
      <c r="BO489" s="28"/>
    </row>
    <row r="490">
      <c r="A490" s="1"/>
      <c r="B490" s="1"/>
      <c r="C490" s="1"/>
      <c r="D490" s="1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46"/>
      <c r="BI490" s="29"/>
      <c r="BJ490" s="28"/>
      <c r="BK490" s="28"/>
      <c r="BL490" s="28"/>
      <c r="BM490" s="28"/>
      <c r="BN490" s="28"/>
      <c r="BO490" s="28"/>
    </row>
    <row r="491">
      <c r="A491" s="1"/>
      <c r="B491" s="1"/>
      <c r="C491" s="1"/>
      <c r="D491" s="1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46"/>
      <c r="BI491" s="29"/>
      <c r="BJ491" s="28"/>
      <c r="BK491" s="28"/>
      <c r="BL491" s="28"/>
      <c r="BM491" s="28"/>
      <c r="BN491" s="28"/>
      <c r="BO491" s="28"/>
    </row>
    <row r="492">
      <c r="A492" s="1"/>
      <c r="B492" s="1"/>
      <c r="C492" s="1"/>
      <c r="D492" s="1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46"/>
      <c r="BI492" s="29"/>
      <c r="BJ492" s="28"/>
      <c r="BK492" s="28"/>
      <c r="BL492" s="28"/>
      <c r="BM492" s="28"/>
      <c r="BN492" s="28"/>
      <c r="BO492" s="28"/>
    </row>
    <row r="493">
      <c r="A493" s="1"/>
      <c r="B493" s="1"/>
      <c r="C493" s="1"/>
      <c r="D493" s="1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  <c r="BH493" s="46"/>
      <c r="BI493" s="29"/>
      <c r="BJ493" s="28"/>
      <c r="BK493" s="28"/>
      <c r="BL493" s="28"/>
      <c r="BM493" s="28"/>
      <c r="BN493" s="28"/>
      <c r="BO493" s="28"/>
    </row>
    <row r="494">
      <c r="A494" s="1"/>
      <c r="B494" s="1"/>
      <c r="C494" s="1"/>
      <c r="D494" s="1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46"/>
      <c r="BI494" s="29"/>
      <c r="BJ494" s="28"/>
      <c r="BK494" s="28"/>
      <c r="BL494" s="28"/>
      <c r="BM494" s="28"/>
      <c r="BN494" s="28"/>
      <c r="BO494" s="28"/>
    </row>
    <row r="495">
      <c r="A495" s="1"/>
      <c r="B495" s="1"/>
      <c r="C495" s="1"/>
      <c r="D495" s="1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46"/>
      <c r="BI495" s="29"/>
      <c r="BJ495" s="28"/>
      <c r="BK495" s="28"/>
      <c r="BL495" s="28"/>
      <c r="BM495" s="28"/>
      <c r="BN495" s="28"/>
      <c r="BO495" s="28"/>
    </row>
    <row r="496">
      <c r="A496" s="1"/>
      <c r="B496" s="1"/>
      <c r="C496" s="1"/>
      <c r="D496" s="1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  <c r="BG496" s="28"/>
      <c r="BH496" s="46"/>
      <c r="BI496" s="29"/>
      <c r="BJ496" s="28"/>
      <c r="BK496" s="28"/>
      <c r="BL496" s="28"/>
      <c r="BM496" s="28"/>
      <c r="BN496" s="28"/>
      <c r="BO496" s="28"/>
    </row>
    <row r="497">
      <c r="A497" s="1"/>
      <c r="B497" s="1"/>
      <c r="C497" s="1"/>
      <c r="D497" s="1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46"/>
      <c r="BI497" s="29"/>
      <c r="BJ497" s="28"/>
      <c r="BK497" s="28"/>
      <c r="BL497" s="28"/>
      <c r="BM497" s="28"/>
      <c r="BN497" s="28"/>
      <c r="BO497" s="28"/>
    </row>
    <row r="498">
      <c r="A498" s="1"/>
      <c r="B498" s="1"/>
      <c r="C498" s="1"/>
      <c r="D498" s="1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  <c r="BH498" s="46"/>
      <c r="BI498" s="29"/>
      <c r="BJ498" s="28"/>
      <c r="BK498" s="28"/>
      <c r="BL498" s="28"/>
      <c r="BM498" s="28"/>
      <c r="BN498" s="28"/>
      <c r="BO498" s="28"/>
    </row>
    <row r="499">
      <c r="A499" s="1"/>
      <c r="B499" s="1"/>
      <c r="C499" s="1"/>
      <c r="D499" s="1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46"/>
      <c r="BI499" s="29"/>
      <c r="BJ499" s="28"/>
      <c r="BK499" s="28"/>
      <c r="BL499" s="28"/>
      <c r="BM499" s="28"/>
      <c r="BN499" s="28"/>
      <c r="BO499" s="28"/>
    </row>
    <row r="500">
      <c r="A500" s="1"/>
      <c r="B500" s="1"/>
      <c r="C500" s="1"/>
      <c r="D500" s="1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46"/>
      <c r="BI500" s="29"/>
      <c r="BJ500" s="28"/>
      <c r="BK500" s="28"/>
      <c r="BL500" s="28"/>
      <c r="BM500" s="28"/>
      <c r="BN500" s="28"/>
      <c r="BO500" s="28"/>
    </row>
    <row r="501">
      <c r="A501" s="1"/>
      <c r="B501" s="1"/>
      <c r="C501" s="1"/>
      <c r="D501" s="1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46"/>
      <c r="BI501" s="29"/>
      <c r="BJ501" s="28"/>
      <c r="BK501" s="28"/>
      <c r="BL501" s="28"/>
      <c r="BM501" s="28"/>
      <c r="BN501" s="28"/>
      <c r="BO501" s="28"/>
    </row>
    <row r="502">
      <c r="A502" s="1"/>
      <c r="B502" s="1"/>
      <c r="C502" s="1"/>
      <c r="D502" s="1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  <c r="BG502" s="28"/>
      <c r="BH502" s="46"/>
      <c r="BI502" s="29"/>
      <c r="BJ502" s="28"/>
      <c r="BK502" s="28"/>
      <c r="BL502" s="28"/>
      <c r="BM502" s="28"/>
      <c r="BN502" s="28"/>
      <c r="BO502" s="28"/>
    </row>
    <row r="503">
      <c r="A503" s="1"/>
      <c r="B503" s="1"/>
      <c r="C503" s="1"/>
      <c r="D503" s="1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  <c r="BH503" s="46"/>
      <c r="BI503" s="29"/>
      <c r="BJ503" s="28"/>
      <c r="BK503" s="28"/>
      <c r="BL503" s="28"/>
      <c r="BM503" s="28"/>
      <c r="BN503" s="28"/>
      <c r="BO503" s="28"/>
    </row>
    <row r="504">
      <c r="A504" s="1"/>
      <c r="B504" s="1"/>
      <c r="C504" s="1"/>
      <c r="D504" s="1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  <c r="BH504" s="46"/>
      <c r="BI504" s="29"/>
      <c r="BJ504" s="28"/>
      <c r="BK504" s="28"/>
      <c r="BL504" s="28"/>
      <c r="BM504" s="28"/>
      <c r="BN504" s="28"/>
      <c r="BO504" s="28"/>
    </row>
    <row r="505">
      <c r="A505" s="1"/>
      <c r="B505" s="1"/>
      <c r="C505" s="1"/>
      <c r="D505" s="1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  <c r="BG505" s="28"/>
      <c r="BH505" s="46"/>
      <c r="BI505" s="29"/>
      <c r="BJ505" s="28"/>
      <c r="BK505" s="28"/>
      <c r="BL505" s="28"/>
      <c r="BM505" s="28"/>
      <c r="BN505" s="28"/>
      <c r="BO505" s="28"/>
    </row>
    <row r="506">
      <c r="A506" s="1"/>
      <c r="B506" s="1"/>
      <c r="C506" s="1"/>
      <c r="D506" s="1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  <c r="BG506" s="28"/>
      <c r="BH506" s="46"/>
      <c r="BI506" s="29"/>
      <c r="BJ506" s="28"/>
      <c r="BK506" s="28"/>
      <c r="BL506" s="28"/>
      <c r="BM506" s="28"/>
      <c r="BN506" s="28"/>
      <c r="BO506" s="28"/>
    </row>
    <row r="507">
      <c r="A507" s="1"/>
      <c r="B507" s="1"/>
      <c r="C507" s="1"/>
      <c r="D507" s="1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  <c r="BH507" s="46"/>
      <c r="BI507" s="29"/>
      <c r="BJ507" s="28"/>
      <c r="BK507" s="28"/>
      <c r="BL507" s="28"/>
      <c r="BM507" s="28"/>
      <c r="BN507" s="28"/>
      <c r="BO507" s="28"/>
    </row>
    <row r="508">
      <c r="A508" s="1"/>
      <c r="B508" s="1"/>
      <c r="C508" s="1"/>
      <c r="D508" s="1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46"/>
      <c r="BI508" s="29"/>
      <c r="BJ508" s="28"/>
      <c r="BK508" s="28"/>
      <c r="BL508" s="28"/>
      <c r="BM508" s="28"/>
      <c r="BN508" s="28"/>
      <c r="BO508" s="28"/>
    </row>
    <row r="509">
      <c r="A509" s="1"/>
      <c r="B509" s="1"/>
      <c r="C509" s="1"/>
      <c r="D509" s="1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  <c r="BG509" s="28"/>
      <c r="BH509" s="46"/>
      <c r="BI509" s="29"/>
      <c r="BJ509" s="28"/>
      <c r="BK509" s="28"/>
      <c r="BL509" s="28"/>
      <c r="BM509" s="28"/>
      <c r="BN509" s="28"/>
      <c r="BO509" s="28"/>
    </row>
    <row r="510">
      <c r="A510" s="1"/>
      <c r="B510" s="1"/>
      <c r="C510" s="1"/>
      <c r="D510" s="1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  <c r="BH510" s="46"/>
      <c r="BI510" s="29"/>
      <c r="BJ510" s="28"/>
      <c r="BK510" s="28"/>
      <c r="BL510" s="28"/>
      <c r="BM510" s="28"/>
      <c r="BN510" s="28"/>
      <c r="BO510" s="28"/>
    </row>
    <row r="511">
      <c r="A511" s="1"/>
      <c r="B511" s="1"/>
      <c r="C511" s="1"/>
      <c r="D511" s="1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  <c r="BG511" s="28"/>
      <c r="BH511" s="46"/>
      <c r="BI511" s="29"/>
      <c r="BJ511" s="28"/>
      <c r="BK511" s="28"/>
      <c r="BL511" s="28"/>
      <c r="BM511" s="28"/>
      <c r="BN511" s="28"/>
      <c r="BO511" s="28"/>
    </row>
    <row r="512">
      <c r="A512" s="1"/>
      <c r="B512" s="1"/>
      <c r="C512" s="1"/>
      <c r="D512" s="1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  <c r="BG512" s="28"/>
      <c r="BH512" s="46"/>
      <c r="BI512" s="29"/>
      <c r="BJ512" s="28"/>
      <c r="BK512" s="28"/>
      <c r="BL512" s="28"/>
      <c r="BM512" s="28"/>
      <c r="BN512" s="28"/>
      <c r="BO512" s="28"/>
    </row>
    <row r="513">
      <c r="A513" s="1"/>
      <c r="B513" s="1"/>
      <c r="C513" s="1"/>
      <c r="D513" s="1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  <c r="BH513" s="46"/>
      <c r="BI513" s="29"/>
      <c r="BJ513" s="28"/>
      <c r="BK513" s="28"/>
      <c r="BL513" s="28"/>
      <c r="BM513" s="28"/>
      <c r="BN513" s="28"/>
      <c r="BO513" s="28"/>
    </row>
    <row r="514">
      <c r="A514" s="1"/>
      <c r="B514" s="1"/>
      <c r="C514" s="1"/>
      <c r="D514" s="1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  <c r="BG514" s="28"/>
      <c r="BH514" s="46"/>
      <c r="BI514" s="29"/>
      <c r="BJ514" s="28"/>
      <c r="BK514" s="28"/>
      <c r="BL514" s="28"/>
      <c r="BM514" s="28"/>
      <c r="BN514" s="28"/>
      <c r="BO514" s="28"/>
    </row>
    <row r="515">
      <c r="A515" s="1"/>
      <c r="B515" s="1"/>
      <c r="C515" s="1"/>
      <c r="D515" s="1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  <c r="BG515" s="28"/>
      <c r="BH515" s="46"/>
      <c r="BI515" s="29"/>
      <c r="BJ515" s="28"/>
      <c r="BK515" s="28"/>
      <c r="BL515" s="28"/>
      <c r="BM515" s="28"/>
      <c r="BN515" s="28"/>
      <c r="BO515" s="28"/>
    </row>
    <row r="516">
      <c r="A516" s="1"/>
      <c r="B516" s="1"/>
      <c r="C516" s="1"/>
      <c r="D516" s="1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  <c r="BG516" s="28"/>
      <c r="BH516" s="46"/>
      <c r="BI516" s="29"/>
      <c r="BJ516" s="28"/>
      <c r="BK516" s="28"/>
      <c r="BL516" s="28"/>
      <c r="BM516" s="28"/>
      <c r="BN516" s="28"/>
      <c r="BO516" s="28"/>
    </row>
    <row r="517">
      <c r="A517" s="1"/>
      <c r="B517" s="1"/>
      <c r="C517" s="1"/>
      <c r="D517" s="1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  <c r="BG517" s="28"/>
      <c r="BH517" s="46"/>
      <c r="BI517" s="29"/>
      <c r="BJ517" s="28"/>
      <c r="BK517" s="28"/>
      <c r="BL517" s="28"/>
      <c r="BM517" s="28"/>
      <c r="BN517" s="28"/>
      <c r="BO517" s="28"/>
    </row>
    <row r="518">
      <c r="A518" s="1"/>
      <c r="B518" s="1"/>
      <c r="C518" s="1"/>
      <c r="D518" s="1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  <c r="BG518" s="28"/>
      <c r="BH518" s="46"/>
      <c r="BI518" s="29"/>
      <c r="BJ518" s="28"/>
      <c r="BK518" s="28"/>
      <c r="BL518" s="28"/>
      <c r="BM518" s="28"/>
      <c r="BN518" s="28"/>
      <c r="BO518" s="28"/>
    </row>
    <row r="519">
      <c r="A519" s="1"/>
      <c r="B519" s="1"/>
      <c r="C519" s="1"/>
      <c r="D519" s="1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  <c r="BG519" s="28"/>
      <c r="BH519" s="46"/>
      <c r="BI519" s="29"/>
      <c r="BJ519" s="28"/>
      <c r="BK519" s="28"/>
      <c r="BL519" s="28"/>
      <c r="BM519" s="28"/>
      <c r="BN519" s="28"/>
      <c r="BO519" s="28"/>
    </row>
    <row r="520">
      <c r="A520" s="1"/>
      <c r="B520" s="1"/>
      <c r="C520" s="1"/>
      <c r="D520" s="1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  <c r="BG520" s="28"/>
      <c r="BH520" s="46"/>
      <c r="BI520" s="29"/>
      <c r="BJ520" s="28"/>
      <c r="BK520" s="28"/>
      <c r="BL520" s="28"/>
      <c r="BM520" s="28"/>
      <c r="BN520" s="28"/>
      <c r="BO520" s="28"/>
    </row>
    <row r="521">
      <c r="A521" s="1"/>
      <c r="B521" s="1"/>
      <c r="C521" s="1"/>
      <c r="D521" s="1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  <c r="BG521" s="28"/>
      <c r="BH521" s="46"/>
      <c r="BI521" s="29"/>
      <c r="BJ521" s="28"/>
      <c r="BK521" s="28"/>
      <c r="BL521" s="28"/>
      <c r="BM521" s="28"/>
      <c r="BN521" s="28"/>
      <c r="BO521" s="28"/>
    </row>
    <row r="522">
      <c r="A522" s="1"/>
      <c r="B522" s="1"/>
      <c r="C522" s="1"/>
      <c r="D522" s="1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  <c r="BG522" s="28"/>
      <c r="BH522" s="46"/>
      <c r="BI522" s="29"/>
      <c r="BJ522" s="28"/>
      <c r="BK522" s="28"/>
      <c r="BL522" s="28"/>
      <c r="BM522" s="28"/>
      <c r="BN522" s="28"/>
      <c r="BO522" s="28"/>
    </row>
    <row r="523">
      <c r="A523" s="1"/>
      <c r="B523" s="1"/>
      <c r="C523" s="1"/>
      <c r="D523" s="1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  <c r="BG523" s="28"/>
      <c r="BH523" s="46"/>
      <c r="BI523" s="29"/>
      <c r="BJ523" s="28"/>
      <c r="BK523" s="28"/>
      <c r="BL523" s="28"/>
      <c r="BM523" s="28"/>
      <c r="BN523" s="28"/>
      <c r="BO523" s="28"/>
    </row>
    <row r="524">
      <c r="A524" s="1"/>
      <c r="B524" s="1"/>
      <c r="C524" s="1"/>
      <c r="D524" s="1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  <c r="BH524" s="46"/>
      <c r="BI524" s="29"/>
      <c r="BJ524" s="28"/>
      <c r="BK524" s="28"/>
      <c r="BL524" s="28"/>
      <c r="BM524" s="28"/>
      <c r="BN524" s="28"/>
      <c r="BO524" s="28"/>
    </row>
    <row r="525">
      <c r="A525" s="1"/>
      <c r="B525" s="1"/>
      <c r="C525" s="1"/>
      <c r="D525" s="1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  <c r="BG525" s="28"/>
      <c r="BH525" s="46"/>
      <c r="BI525" s="29"/>
      <c r="BJ525" s="28"/>
      <c r="BK525" s="28"/>
      <c r="BL525" s="28"/>
      <c r="BM525" s="28"/>
      <c r="BN525" s="28"/>
      <c r="BO525" s="28"/>
    </row>
    <row r="526">
      <c r="A526" s="1"/>
      <c r="B526" s="1"/>
      <c r="C526" s="1"/>
      <c r="D526" s="1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  <c r="BG526" s="28"/>
      <c r="BH526" s="46"/>
      <c r="BI526" s="29"/>
      <c r="BJ526" s="28"/>
      <c r="BK526" s="28"/>
      <c r="BL526" s="28"/>
      <c r="BM526" s="28"/>
      <c r="BN526" s="28"/>
      <c r="BO526" s="28"/>
    </row>
    <row r="527">
      <c r="A527" s="1"/>
      <c r="B527" s="1"/>
      <c r="C527" s="1"/>
      <c r="D527" s="1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  <c r="BH527" s="46"/>
      <c r="BI527" s="29"/>
      <c r="BJ527" s="28"/>
      <c r="BK527" s="28"/>
      <c r="BL527" s="28"/>
      <c r="BM527" s="28"/>
      <c r="BN527" s="28"/>
      <c r="BO527" s="28"/>
    </row>
    <row r="528">
      <c r="A528" s="1"/>
      <c r="B528" s="1"/>
      <c r="C528" s="1"/>
      <c r="D528" s="1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  <c r="BH528" s="46"/>
      <c r="BI528" s="29"/>
      <c r="BJ528" s="28"/>
      <c r="BK528" s="28"/>
      <c r="BL528" s="28"/>
      <c r="BM528" s="28"/>
      <c r="BN528" s="28"/>
      <c r="BO528" s="28"/>
    </row>
    <row r="529">
      <c r="A529" s="1"/>
      <c r="B529" s="1"/>
      <c r="C529" s="1"/>
      <c r="D529" s="1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  <c r="BG529" s="28"/>
      <c r="BH529" s="46"/>
      <c r="BI529" s="29"/>
      <c r="BJ529" s="28"/>
      <c r="BK529" s="28"/>
      <c r="BL529" s="28"/>
      <c r="BM529" s="28"/>
      <c r="BN529" s="28"/>
      <c r="BO529" s="28"/>
    </row>
    <row r="530">
      <c r="A530" s="1"/>
      <c r="B530" s="1"/>
      <c r="C530" s="1"/>
      <c r="D530" s="1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46"/>
      <c r="BI530" s="29"/>
      <c r="BJ530" s="28"/>
      <c r="BK530" s="28"/>
      <c r="BL530" s="28"/>
      <c r="BM530" s="28"/>
      <c r="BN530" s="28"/>
      <c r="BO530" s="28"/>
    </row>
    <row r="531">
      <c r="A531" s="1"/>
      <c r="B531" s="1"/>
      <c r="C531" s="1"/>
      <c r="D531" s="1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  <c r="BH531" s="46"/>
      <c r="BI531" s="29"/>
      <c r="BJ531" s="28"/>
      <c r="BK531" s="28"/>
      <c r="BL531" s="28"/>
      <c r="BM531" s="28"/>
      <c r="BN531" s="28"/>
      <c r="BO531" s="28"/>
    </row>
    <row r="532">
      <c r="A532" s="1"/>
      <c r="B532" s="1"/>
      <c r="C532" s="1"/>
      <c r="D532" s="1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  <c r="BG532" s="28"/>
      <c r="BH532" s="46"/>
      <c r="BI532" s="29"/>
      <c r="BJ532" s="28"/>
      <c r="BK532" s="28"/>
      <c r="BL532" s="28"/>
      <c r="BM532" s="28"/>
      <c r="BN532" s="28"/>
      <c r="BO532" s="28"/>
    </row>
    <row r="533">
      <c r="A533" s="1"/>
      <c r="B533" s="1"/>
      <c r="C533" s="1"/>
      <c r="D533" s="1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46"/>
      <c r="BI533" s="29"/>
      <c r="BJ533" s="28"/>
      <c r="BK533" s="28"/>
      <c r="BL533" s="28"/>
      <c r="BM533" s="28"/>
      <c r="BN533" s="28"/>
      <c r="BO533" s="28"/>
    </row>
    <row r="534">
      <c r="A534" s="1"/>
      <c r="B534" s="1"/>
      <c r="C534" s="1"/>
      <c r="D534" s="1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46"/>
      <c r="BI534" s="29"/>
      <c r="BJ534" s="28"/>
      <c r="BK534" s="28"/>
      <c r="BL534" s="28"/>
      <c r="BM534" s="28"/>
      <c r="BN534" s="28"/>
      <c r="BO534" s="28"/>
    </row>
    <row r="535">
      <c r="A535" s="1"/>
      <c r="B535" s="1"/>
      <c r="C535" s="1"/>
      <c r="D535" s="1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  <c r="BG535" s="28"/>
      <c r="BH535" s="46"/>
      <c r="BI535" s="29"/>
      <c r="BJ535" s="28"/>
      <c r="BK535" s="28"/>
      <c r="BL535" s="28"/>
      <c r="BM535" s="28"/>
      <c r="BN535" s="28"/>
      <c r="BO535" s="28"/>
    </row>
    <row r="536">
      <c r="A536" s="1"/>
      <c r="B536" s="1"/>
      <c r="C536" s="1"/>
      <c r="D536" s="1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46"/>
      <c r="BI536" s="29"/>
      <c r="BJ536" s="28"/>
      <c r="BK536" s="28"/>
      <c r="BL536" s="28"/>
      <c r="BM536" s="28"/>
      <c r="BN536" s="28"/>
      <c r="BO536" s="28"/>
    </row>
    <row r="537">
      <c r="A537" s="1"/>
      <c r="B537" s="1"/>
      <c r="C537" s="1"/>
      <c r="D537" s="1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  <c r="BH537" s="46"/>
      <c r="BI537" s="29"/>
      <c r="BJ537" s="28"/>
      <c r="BK537" s="28"/>
      <c r="BL537" s="28"/>
      <c r="BM537" s="28"/>
      <c r="BN537" s="28"/>
      <c r="BO537" s="28"/>
    </row>
    <row r="538">
      <c r="A538" s="1"/>
      <c r="B538" s="1"/>
      <c r="C538" s="1"/>
      <c r="D538" s="1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  <c r="BH538" s="46"/>
      <c r="BI538" s="29"/>
      <c r="BJ538" s="28"/>
      <c r="BK538" s="28"/>
      <c r="BL538" s="28"/>
      <c r="BM538" s="28"/>
      <c r="BN538" s="28"/>
      <c r="BO538" s="28"/>
    </row>
    <row r="539">
      <c r="A539" s="1"/>
      <c r="B539" s="1"/>
      <c r="C539" s="1"/>
      <c r="D539" s="1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46"/>
      <c r="BI539" s="29"/>
      <c r="BJ539" s="28"/>
      <c r="BK539" s="28"/>
      <c r="BL539" s="28"/>
      <c r="BM539" s="28"/>
      <c r="BN539" s="28"/>
      <c r="BO539" s="28"/>
    </row>
    <row r="540">
      <c r="A540" s="1"/>
      <c r="B540" s="1"/>
      <c r="C540" s="1"/>
      <c r="D540" s="1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  <c r="BH540" s="46"/>
      <c r="BI540" s="29"/>
      <c r="BJ540" s="28"/>
      <c r="BK540" s="28"/>
      <c r="BL540" s="28"/>
      <c r="BM540" s="28"/>
      <c r="BN540" s="28"/>
      <c r="BO540" s="28"/>
    </row>
    <row r="541">
      <c r="A541" s="1"/>
      <c r="B541" s="1"/>
      <c r="C541" s="1"/>
      <c r="D541" s="1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  <c r="BG541" s="28"/>
      <c r="BH541" s="46"/>
      <c r="BI541" s="29"/>
      <c r="BJ541" s="28"/>
      <c r="BK541" s="28"/>
      <c r="BL541" s="28"/>
      <c r="BM541" s="28"/>
      <c r="BN541" s="28"/>
      <c r="BO541" s="28"/>
    </row>
    <row r="542">
      <c r="A542" s="1"/>
      <c r="B542" s="1"/>
      <c r="C542" s="1"/>
      <c r="D542" s="1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46"/>
      <c r="BI542" s="29"/>
      <c r="BJ542" s="28"/>
      <c r="BK542" s="28"/>
      <c r="BL542" s="28"/>
      <c r="BM542" s="28"/>
      <c r="BN542" s="28"/>
      <c r="BO542" s="28"/>
    </row>
    <row r="543">
      <c r="A543" s="1"/>
      <c r="B543" s="1"/>
      <c r="C543" s="1"/>
      <c r="D543" s="1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  <c r="BH543" s="46"/>
      <c r="BI543" s="29"/>
      <c r="BJ543" s="28"/>
      <c r="BK543" s="28"/>
      <c r="BL543" s="28"/>
      <c r="BM543" s="28"/>
      <c r="BN543" s="28"/>
      <c r="BO543" s="28"/>
    </row>
    <row r="544">
      <c r="A544" s="1"/>
      <c r="B544" s="1"/>
      <c r="C544" s="1"/>
      <c r="D544" s="1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  <c r="BG544" s="28"/>
      <c r="BH544" s="46"/>
      <c r="BI544" s="29"/>
      <c r="BJ544" s="28"/>
      <c r="BK544" s="28"/>
      <c r="BL544" s="28"/>
      <c r="BM544" s="28"/>
      <c r="BN544" s="28"/>
      <c r="BO544" s="28"/>
    </row>
    <row r="545">
      <c r="A545" s="1"/>
      <c r="B545" s="1"/>
      <c r="C545" s="1"/>
      <c r="D545" s="1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46"/>
      <c r="BI545" s="29"/>
      <c r="BJ545" s="28"/>
      <c r="BK545" s="28"/>
      <c r="BL545" s="28"/>
      <c r="BM545" s="28"/>
      <c r="BN545" s="28"/>
      <c r="BO545" s="28"/>
    </row>
    <row r="546">
      <c r="A546" s="1"/>
      <c r="B546" s="1"/>
      <c r="C546" s="1"/>
      <c r="D546" s="1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  <c r="BH546" s="46"/>
      <c r="BI546" s="29"/>
      <c r="BJ546" s="28"/>
      <c r="BK546" s="28"/>
      <c r="BL546" s="28"/>
      <c r="BM546" s="28"/>
      <c r="BN546" s="28"/>
      <c r="BO546" s="28"/>
    </row>
    <row r="547">
      <c r="A547" s="1"/>
      <c r="B547" s="1"/>
      <c r="C547" s="1"/>
      <c r="D547" s="1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  <c r="BG547" s="28"/>
      <c r="BH547" s="46"/>
      <c r="BI547" s="29"/>
      <c r="BJ547" s="28"/>
      <c r="BK547" s="28"/>
      <c r="BL547" s="28"/>
      <c r="BM547" s="28"/>
      <c r="BN547" s="28"/>
      <c r="BO547" s="28"/>
    </row>
    <row r="548">
      <c r="A548" s="1"/>
      <c r="B548" s="1"/>
      <c r="C548" s="1"/>
      <c r="D548" s="1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46"/>
      <c r="BI548" s="29"/>
      <c r="BJ548" s="28"/>
      <c r="BK548" s="28"/>
      <c r="BL548" s="28"/>
      <c r="BM548" s="28"/>
      <c r="BN548" s="28"/>
      <c r="BO548" s="28"/>
    </row>
    <row r="549">
      <c r="A549" s="1"/>
      <c r="B549" s="1"/>
      <c r="C549" s="1"/>
      <c r="D549" s="1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  <c r="BH549" s="46"/>
      <c r="BI549" s="29"/>
      <c r="BJ549" s="28"/>
      <c r="BK549" s="28"/>
      <c r="BL549" s="28"/>
      <c r="BM549" s="28"/>
      <c r="BN549" s="28"/>
      <c r="BO549" s="28"/>
    </row>
    <row r="550">
      <c r="A550" s="1"/>
      <c r="B550" s="1"/>
      <c r="C550" s="1"/>
      <c r="D550" s="1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  <c r="BG550" s="28"/>
      <c r="BH550" s="46"/>
      <c r="BI550" s="29"/>
      <c r="BJ550" s="28"/>
      <c r="BK550" s="28"/>
      <c r="BL550" s="28"/>
      <c r="BM550" s="28"/>
      <c r="BN550" s="28"/>
      <c r="BO550" s="28"/>
    </row>
    <row r="551">
      <c r="A551" s="1"/>
      <c r="B551" s="1"/>
      <c r="C551" s="1"/>
      <c r="D551" s="1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46"/>
      <c r="BI551" s="29"/>
      <c r="BJ551" s="28"/>
      <c r="BK551" s="28"/>
      <c r="BL551" s="28"/>
      <c r="BM551" s="28"/>
      <c r="BN551" s="28"/>
      <c r="BO551" s="28"/>
    </row>
    <row r="552">
      <c r="A552" s="1"/>
      <c r="B552" s="1"/>
      <c r="C552" s="1"/>
      <c r="D552" s="1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46"/>
      <c r="BI552" s="29"/>
      <c r="BJ552" s="28"/>
      <c r="BK552" s="28"/>
      <c r="BL552" s="28"/>
      <c r="BM552" s="28"/>
      <c r="BN552" s="28"/>
      <c r="BO552" s="28"/>
    </row>
    <row r="553">
      <c r="A553" s="1"/>
      <c r="B553" s="1"/>
      <c r="C553" s="1"/>
      <c r="D553" s="1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  <c r="BG553" s="28"/>
      <c r="BH553" s="46"/>
      <c r="BI553" s="29"/>
      <c r="BJ553" s="28"/>
      <c r="BK553" s="28"/>
      <c r="BL553" s="28"/>
      <c r="BM553" s="28"/>
      <c r="BN553" s="28"/>
      <c r="BO553" s="28"/>
    </row>
    <row r="554">
      <c r="A554" s="1"/>
      <c r="B554" s="1"/>
      <c r="C554" s="1"/>
      <c r="D554" s="1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46"/>
      <c r="BI554" s="29"/>
      <c r="BJ554" s="28"/>
      <c r="BK554" s="28"/>
      <c r="BL554" s="28"/>
      <c r="BM554" s="28"/>
      <c r="BN554" s="28"/>
      <c r="BO554" s="28"/>
    </row>
    <row r="555">
      <c r="A555" s="1"/>
      <c r="B555" s="1"/>
      <c r="C555" s="1"/>
      <c r="D555" s="1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  <c r="BG555" s="28"/>
      <c r="BH555" s="46"/>
      <c r="BI555" s="29"/>
      <c r="BJ555" s="28"/>
      <c r="BK555" s="28"/>
      <c r="BL555" s="28"/>
      <c r="BM555" s="28"/>
      <c r="BN555" s="28"/>
      <c r="BO555" s="28"/>
    </row>
    <row r="556">
      <c r="A556" s="1"/>
      <c r="B556" s="1"/>
      <c r="C556" s="1"/>
      <c r="D556" s="1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  <c r="BG556" s="28"/>
      <c r="BH556" s="46"/>
      <c r="BI556" s="29"/>
      <c r="BJ556" s="28"/>
      <c r="BK556" s="28"/>
      <c r="BL556" s="28"/>
      <c r="BM556" s="28"/>
      <c r="BN556" s="28"/>
      <c r="BO556" s="28"/>
    </row>
    <row r="557">
      <c r="A557" s="1"/>
      <c r="B557" s="1"/>
      <c r="C557" s="1"/>
      <c r="D557" s="1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46"/>
      <c r="BI557" s="29"/>
      <c r="BJ557" s="28"/>
      <c r="BK557" s="28"/>
      <c r="BL557" s="28"/>
      <c r="BM557" s="28"/>
      <c r="BN557" s="28"/>
      <c r="BO557" s="28"/>
    </row>
    <row r="558">
      <c r="A558" s="1"/>
      <c r="B558" s="1"/>
      <c r="C558" s="1"/>
      <c r="D558" s="1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46"/>
      <c r="BI558" s="29"/>
      <c r="BJ558" s="28"/>
      <c r="BK558" s="28"/>
      <c r="BL558" s="28"/>
      <c r="BM558" s="28"/>
      <c r="BN558" s="28"/>
      <c r="BO558" s="28"/>
    </row>
    <row r="559">
      <c r="A559" s="1"/>
      <c r="B559" s="1"/>
      <c r="C559" s="1"/>
      <c r="D559" s="1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  <c r="BH559" s="46"/>
      <c r="BI559" s="29"/>
      <c r="BJ559" s="28"/>
      <c r="BK559" s="28"/>
      <c r="BL559" s="28"/>
      <c r="BM559" s="28"/>
      <c r="BN559" s="28"/>
      <c r="BO559" s="28"/>
    </row>
    <row r="560">
      <c r="A560" s="1"/>
      <c r="B560" s="1"/>
      <c r="C560" s="1"/>
      <c r="D560" s="1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46"/>
      <c r="BI560" s="29"/>
      <c r="BJ560" s="28"/>
      <c r="BK560" s="28"/>
      <c r="BL560" s="28"/>
      <c r="BM560" s="28"/>
      <c r="BN560" s="28"/>
      <c r="BO560" s="28"/>
    </row>
    <row r="561">
      <c r="A561" s="1"/>
      <c r="B561" s="1"/>
      <c r="C561" s="1"/>
      <c r="D561" s="1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46"/>
      <c r="BI561" s="29"/>
      <c r="BJ561" s="28"/>
      <c r="BK561" s="28"/>
      <c r="BL561" s="28"/>
      <c r="BM561" s="28"/>
      <c r="BN561" s="28"/>
      <c r="BO561" s="28"/>
    </row>
    <row r="562">
      <c r="A562" s="1"/>
      <c r="B562" s="1"/>
      <c r="C562" s="1"/>
      <c r="D562" s="1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46"/>
      <c r="BI562" s="29"/>
      <c r="BJ562" s="28"/>
      <c r="BK562" s="28"/>
      <c r="BL562" s="28"/>
      <c r="BM562" s="28"/>
      <c r="BN562" s="28"/>
      <c r="BO562" s="28"/>
    </row>
    <row r="563">
      <c r="A563" s="1"/>
      <c r="B563" s="1"/>
      <c r="C563" s="1"/>
      <c r="D563" s="1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46"/>
      <c r="BI563" s="29"/>
      <c r="BJ563" s="28"/>
      <c r="BK563" s="28"/>
      <c r="BL563" s="28"/>
      <c r="BM563" s="28"/>
      <c r="BN563" s="28"/>
      <c r="BO563" s="28"/>
    </row>
    <row r="564">
      <c r="A564" s="1"/>
      <c r="B564" s="1"/>
      <c r="C564" s="1"/>
      <c r="D564" s="1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46"/>
      <c r="BI564" s="29"/>
      <c r="BJ564" s="28"/>
      <c r="BK564" s="28"/>
      <c r="BL564" s="28"/>
      <c r="BM564" s="28"/>
      <c r="BN564" s="28"/>
      <c r="BO564" s="28"/>
    </row>
    <row r="565">
      <c r="A565" s="1"/>
      <c r="B565" s="1"/>
      <c r="C565" s="1"/>
      <c r="D565" s="1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46"/>
      <c r="BI565" s="29"/>
      <c r="BJ565" s="28"/>
      <c r="BK565" s="28"/>
      <c r="BL565" s="28"/>
      <c r="BM565" s="28"/>
      <c r="BN565" s="28"/>
      <c r="BO565" s="28"/>
    </row>
    <row r="566">
      <c r="A566" s="1"/>
      <c r="B566" s="1"/>
      <c r="C566" s="1"/>
      <c r="D566" s="1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46"/>
      <c r="BI566" s="29"/>
      <c r="BJ566" s="28"/>
      <c r="BK566" s="28"/>
      <c r="BL566" s="28"/>
      <c r="BM566" s="28"/>
      <c r="BN566" s="28"/>
      <c r="BO566" s="28"/>
    </row>
    <row r="567">
      <c r="A567" s="1"/>
      <c r="B567" s="1"/>
      <c r="C567" s="1"/>
      <c r="D567" s="1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46"/>
      <c r="BI567" s="29"/>
      <c r="BJ567" s="28"/>
      <c r="BK567" s="28"/>
      <c r="BL567" s="28"/>
      <c r="BM567" s="28"/>
      <c r="BN567" s="28"/>
      <c r="BO567" s="28"/>
    </row>
    <row r="568">
      <c r="A568" s="1"/>
      <c r="B568" s="1"/>
      <c r="C568" s="1"/>
      <c r="D568" s="1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46"/>
      <c r="BI568" s="29"/>
      <c r="BJ568" s="28"/>
      <c r="BK568" s="28"/>
      <c r="BL568" s="28"/>
      <c r="BM568" s="28"/>
      <c r="BN568" s="28"/>
      <c r="BO568" s="28"/>
    </row>
    <row r="569">
      <c r="A569" s="1"/>
      <c r="B569" s="1"/>
      <c r="C569" s="1"/>
      <c r="D569" s="1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46"/>
      <c r="BI569" s="29"/>
      <c r="BJ569" s="28"/>
      <c r="BK569" s="28"/>
      <c r="BL569" s="28"/>
      <c r="BM569" s="28"/>
      <c r="BN569" s="28"/>
      <c r="BO569" s="28"/>
    </row>
    <row r="570">
      <c r="A570" s="1"/>
      <c r="B570" s="1"/>
      <c r="C570" s="1"/>
      <c r="D570" s="1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46"/>
      <c r="BI570" s="29"/>
      <c r="BJ570" s="28"/>
      <c r="BK570" s="28"/>
      <c r="BL570" s="28"/>
      <c r="BM570" s="28"/>
      <c r="BN570" s="28"/>
      <c r="BO570" s="28"/>
    </row>
    <row r="571">
      <c r="A571" s="1"/>
      <c r="B571" s="1"/>
      <c r="C571" s="1"/>
      <c r="D571" s="1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46"/>
      <c r="BI571" s="29"/>
      <c r="BJ571" s="28"/>
      <c r="BK571" s="28"/>
      <c r="BL571" s="28"/>
      <c r="BM571" s="28"/>
      <c r="BN571" s="28"/>
      <c r="BO571" s="28"/>
    </row>
    <row r="572">
      <c r="A572" s="1"/>
      <c r="B572" s="1"/>
      <c r="C572" s="1"/>
      <c r="D572" s="1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46"/>
      <c r="BI572" s="29"/>
      <c r="BJ572" s="28"/>
      <c r="BK572" s="28"/>
      <c r="BL572" s="28"/>
      <c r="BM572" s="28"/>
      <c r="BN572" s="28"/>
      <c r="BO572" s="28"/>
    </row>
    <row r="573">
      <c r="A573" s="1"/>
      <c r="B573" s="1"/>
      <c r="C573" s="1"/>
      <c r="D573" s="1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46"/>
      <c r="BI573" s="29"/>
      <c r="BJ573" s="28"/>
      <c r="BK573" s="28"/>
      <c r="BL573" s="28"/>
      <c r="BM573" s="28"/>
      <c r="BN573" s="28"/>
      <c r="BO573" s="28"/>
    </row>
    <row r="574">
      <c r="A574" s="1"/>
      <c r="B574" s="1"/>
      <c r="C574" s="1"/>
      <c r="D574" s="1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46"/>
      <c r="BI574" s="29"/>
      <c r="BJ574" s="28"/>
      <c r="BK574" s="28"/>
      <c r="BL574" s="28"/>
      <c r="BM574" s="28"/>
      <c r="BN574" s="28"/>
      <c r="BO574" s="28"/>
    </row>
    <row r="575">
      <c r="A575" s="1"/>
      <c r="B575" s="1"/>
      <c r="C575" s="1"/>
      <c r="D575" s="1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46"/>
      <c r="BI575" s="29"/>
      <c r="BJ575" s="28"/>
      <c r="BK575" s="28"/>
      <c r="BL575" s="28"/>
      <c r="BM575" s="28"/>
      <c r="BN575" s="28"/>
      <c r="BO575" s="28"/>
    </row>
    <row r="576">
      <c r="A576" s="1"/>
      <c r="B576" s="1"/>
      <c r="C576" s="1"/>
      <c r="D576" s="1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46"/>
      <c r="BI576" s="29"/>
      <c r="BJ576" s="28"/>
      <c r="BK576" s="28"/>
      <c r="BL576" s="28"/>
      <c r="BM576" s="28"/>
      <c r="BN576" s="28"/>
      <c r="BO576" s="28"/>
    </row>
    <row r="577">
      <c r="A577" s="1"/>
      <c r="B577" s="1"/>
      <c r="C577" s="1"/>
      <c r="D577" s="1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46"/>
      <c r="BI577" s="29"/>
      <c r="BJ577" s="28"/>
      <c r="BK577" s="28"/>
      <c r="BL577" s="28"/>
      <c r="BM577" s="28"/>
      <c r="BN577" s="28"/>
      <c r="BO577" s="28"/>
    </row>
    <row r="578">
      <c r="A578" s="1"/>
      <c r="B578" s="1"/>
      <c r="C578" s="1"/>
      <c r="D578" s="1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46"/>
      <c r="BI578" s="29"/>
      <c r="BJ578" s="28"/>
      <c r="BK578" s="28"/>
      <c r="BL578" s="28"/>
      <c r="BM578" s="28"/>
      <c r="BN578" s="28"/>
      <c r="BO578" s="28"/>
    </row>
    <row r="579">
      <c r="A579" s="1"/>
      <c r="B579" s="1"/>
      <c r="C579" s="1"/>
      <c r="D579" s="1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46"/>
      <c r="BI579" s="29"/>
      <c r="BJ579" s="28"/>
      <c r="BK579" s="28"/>
      <c r="BL579" s="28"/>
      <c r="BM579" s="28"/>
      <c r="BN579" s="28"/>
      <c r="BO579" s="28"/>
    </row>
    <row r="580">
      <c r="A580" s="1"/>
      <c r="B580" s="1"/>
      <c r="C580" s="1"/>
      <c r="D580" s="1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46"/>
      <c r="BI580" s="29"/>
      <c r="BJ580" s="28"/>
      <c r="BK580" s="28"/>
      <c r="BL580" s="28"/>
      <c r="BM580" s="28"/>
      <c r="BN580" s="28"/>
      <c r="BO580" s="28"/>
    </row>
    <row r="581">
      <c r="A581" s="1"/>
      <c r="B581" s="1"/>
      <c r="C581" s="1"/>
      <c r="D581" s="1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46"/>
      <c r="BI581" s="29"/>
      <c r="BJ581" s="28"/>
      <c r="BK581" s="28"/>
      <c r="BL581" s="28"/>
      <c r="BM581" s="28"/>
      <c r="BN581" s="28"/>
      <c r="BO581" s="28"/>
    </row>
    <row r="582">
      <c r="A582" s="1"/>
      <c r="B582" s="1"/>
      <c r="C582" s="1"/>
      <c r="D582" s="1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46"/>
      <c r="BI582" s="29"/>
      <c r="BJ582" s="28"/>
      <c r="BK582" s="28"/>
      <c r="BL582" s="28"/>
      <c r="BM582" s="28"/>
      <c r="BN582" s="28"/>
      <c r="BO582" s="28"/>
    </row>
    <row r="583">
      <c r="A583" s="1"/>
      <c r="B583" s="1"/>
      <c r="C583" s="1"/>
      <c r="D583" s="1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46"/>
      <c r="BI583" s="29"/>
      <c r="BJ583" s="28"/>
      <c r="BK583" s="28"/>
      <c r="BL583" s="28"/>
      <c r="BM583" s="28"/>
      <c r="BN583" s="28"/>
      <c r="BO583" s="28"/>
    </row>
    <row r="584">
      <c r="A584" s="1"/>
      <c r="B584" s="1"/>
      <c r="C584" s="1"/>
      <c r="D584" s="1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46"/>
      <c r="BI584" s="29"/>
      <c r="BJ584" s="28"/>
      <c r="BK584" s="28"/>
      <c r="BL584" s="28"/>
      <c r="BM584" s="28"/>
      <c r="BN584" s="28"/>
      <c r="BO584" s="28"/>
    </row>
    <row r="585">
      <c r="A585" s="1"/>
      <c r="B585" s="1"/>
      <c r="C585" s="1"/>
      <c r="D585" s="1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46"/>
      <c r="BI585" s="29"/>
      <c r="BJ585" s="28"/>
      <c r="BK585" s="28"/>
      <c r="BL585" s="28"/>
      <c r="BM585" s="28"/>
      <c r="BN585" s="28"/>
      <c r="BO585" s="28"/>
    </row>
    <row r="586">
      <c r="A586" s="1"/>
      <c r="B586" s="1"/>
      <c r="C586" s="1"/>
      <c r="D586" s="1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46"/>
      <c r="BI586" s="29"/>
      <c r="BJ586" s="28"/>
      <c r="BK586" s="28"/>
      <c r="BL586" s="28"/>
      <c r="BM586" s="28"/>
      <c r="BN586" s="28"/>
      <c r="BO586" s="28"/>
    </row>
    <row r="587">
      <c r="A587" s="1"/>
      <c r="B587" s="1"/>
      <c r="C587" s="1"/>
      <c r="D587" s="1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46"/>
      <c r="BI587" s="29"/>
      <c r="BJ587" s="28"/>
      <c r="BK587" s="28"/>
      <c r="BL587" s="28"/>
      <c r="BM587" s="28"/>
      <c r="BN587" s="28"/>
      <c r="BO587" s="28"/>
    </row>
    <row r="588">
      <c r="A588" s="1"/>
      <c r="B588" s="1"/>
      <c r="C588" s="1"/>
      <c r="D588" s="1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46"/>
      <c r="BI588" s="29"/>
      <c r="BJ588" s="28"/>
      <c r="BK588" s="28"/>
      <c r="BL588" s="28"/>
      <c r="BM588" s="28"/>
      <c r="BN588" s="28"/>
      <c r="BO588" s="28"/>
    </row>
    <row r="589">
      <c r="A589" s="1"/>
      <c r="B589" s="1"/>
      <c r="C589" s="1"/>
      <c r="D589" s="1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46"/>
      <c r="BI589" s="29"/>
      <c r="BJ589" s="28"/>
      <c r="BK589" s="28"/>
      <c r="BL589" s="28"/>
      <c r="BM589" s="28"/>
      <c r="BN589" s="28"/>
      <c r="BO589" s="28"/>
    </row>
    <row r="590">
      <c r="A590" s="1"/>
      <c r="B590" s="1"/>
      <c r="C590" s="1"/>
      <c r="D590" s="1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46"/>
      <c r="BI590" s="29"/>
      <c r="BJ590" s="28"/>
      <c r="BK590" s="28"/>
      <c r="BL590" s="28"/>
      <c r="BM590" s="28"/>
      <c r="BN590" s="28"/>
      <c r="BO590" s="28"/>
    </row>
    <row r="591">
      <c r="A591" s="1"/>
      <c r="B591" s="1"/>
      <c r="C591" s="1"/>
      <c r="D591" s="1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46"/>
      <c r="BI591" s="29"/>
      <c r="BJ591" s="28"/>
      <c r="BK591" s="28"/>
      <c r="BL591" s="28"/>
      <c r="BM591" s="28"/>
      <c r="BN591" s="28"/>
      <c r="BO591" s="28"/>
    </row>
    <row r="592">
      <c r="A592" s="1"/>
      <c r="B592" s="1"/>
      <c r="C592" s="1"/>
      <c r="D592" s="1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46"/>
      <c r="BI592" s="29"/>
      <c r="BJ592" s="28"/>
      <c r="BK592" s="28"/>
      <c r="BL592" s="28"/>
      <c r="BM592" s="28"/>
      <c r="BN592" s="28"/>
      <c r="BO592" s="28"/>
    </row>
    <row r="593">
      <c r="A593" s="1"/>
      <c r="B593" s="1"/>
      <c r="C593" s="1"/>
      <c r="D593" s="1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46"/>
      <c r="BI593" s="29"/>
      <c r="BJ593" s="28"/>
      <c r="BK593" s="28"/>
      <c r="BL593" s="28"/>
      <c r="BM593" s="28"/>
      <c r="BN593" s="28"/>
      <c r="BO593" s="28"/>
    </row>
    <row r="594">
      <c r="A594" s="1"/>
      <c r="B594" s="1"/>
      <c r="C594" s="1"/>
      <c r="D594" s="1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  <c r="BH594" s="46"/>
      <c r="BI594" s="29"/>
      <c r="BJ594" s="28"/>
      <c r="BK594" s="28"/>
      <c r="BL594" s="28"/>
      <c r="BM594" s="28"/>
      <c r="BN594" s="28"/>
      <c r="BO594" s="28"/>
    </row>
    <row r="595">
      <c r="A595" s="1"/>
      <c r="B595" s="1"/>
      <c r="C595" s="1"/>
      <c r="D595" s="1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46"/>
      <c r="BI595" s="29"/>
      <c r="BJ595" s="28"/>
      <c r="BK595" s="28"/>
      <c r="BL595" s="28"/>
      <c r="BM595" s="28"/>
      <c r="BN595" s="28"/>
      <c r="BO595" s="28"/>
    </row>
    <row r="596">
      <c r="A596" s="1"/>
      <c r="B596" s="1"/>
      <c r="C596" s="1"/>
      <c r="D596" s="1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46"/>
      <c r="BI596" s="29"/>
      <c r="BJ596" s="28"/>
      <c r="BK596" s="28"/>
      <c r="BL596" s="28"/>
      <c r="BM596" s="28"/>
      <c r="BN596" s="28"/>
      <c r="BO596" s="28"/>
    </row>
    <row r="597">
      <c r="A597" s="1"/>
      <c r="B597" s="1"/>
      <c r="C597" s="1"/>
      <c r="D597" s="1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  <c r="BH597" s="46"/>
      <c r="BI597" s="29"/>
      <c r="BJ597" s="28"/>
      <c r="BK597" s="28"/>
      <c r="BL597" s="28"/>
      <c r="BM597" s="28"/>
      <c r="BN597" s="28"/>
      <c r="BO597" s="28"/>
    </row>
    <row r="598">
      <c r="A598" s="1"/>
      <c r="B598" s="1"/>
      <c r="C598" s="1"/>
      <c r="D598" s="1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46"/>
      <c r="BI598" s="29"/>
      <c r="BJ598" s="28"/>
      <c r="BK598" s="28"/>
      <c r="BL598" s="28"/>
      <c r="BM598" s="28"/>
      <c r="BN598" s="28"/>
      <c r="BO598" s="28"/>
    </row>
    <row r="599">
      <c r="A599" s="1"/>
      <c r="B599" s="1"/>
      <c r="C599" s="1"/>
      <c r="D599" s="1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46"/>
      <c r="BI599" s="29"/>
      <c r="BJ599" s="28"/>
      <c r="BK599" s="28"/>
      <c r="BL599" s="28"/>
      <c r="BM599" s="28"/>
      <c r="BN599" s="28"/>
      <c r="BO599" s="28"/>
    </row>
    <row r="600">
      <c r="A600" s="1"/>
      <c r="B600" s="1"/>
      <c r="C600" s="1"/>
      <c r="D600" s="1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46"/>
      <c r="BI600" s="29"/>
      <c r="BJ600" s="28"/>
      <c r="BK600" s="28"/>
      <c r="BL600" s="28"/>
      <c r="BM600" s="28"/>
      <c r="BN600" s="28"/>
      <c r="BO600" s="28"/>
    </row>
    <row r="601">
      <c r="A601" s="1"/>
      <c r="B601" s="1"/>
      <c r="C601" s="1"/>
      <c r="D601" s="1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46"/>
      <c r="BI601" s="29"/>
      <c r="BJ601" s="28"/>
      <c r="BK601" s="28"/>
      <c r="BL601" s="28"/>
      <c r="BM601" s="28"/>
      <c r="BN601" s="28"/>
      <c r="BO601" s="28"/>
    </row>
    <row r="602">
      <c r="A602" s="1"/>
      <c r="B602" s="1"/>
      <c r="C602" s="1"/>
      <c r="D602" s="1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46"/>
      <c r="BI602" s="29"/>
      <c r="BJ602" s="28"/>
      <c r="BK602" s="28"/>
      <c r="BL602" s="28"/>
      <c r="BM602" s="28"/>
      <c r="BN602" s="28"/>
      <c r="BO602" s="28"/>
    </row>
    <row r="603">
      <c r="A603" s="1"/>
      <c r="B603" s="1"/>
      <c r="C603" s="1"/>
      <c r="D603" s="1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  <c r="BG603" s="28"/>
      <c r="BH603" s="46"/>
      <c r="BI603" s="29"/>
      <c r="BJ603" s="28"/>
      <c r="BK603" s="28"/>
      <c r="BL603" s="28"/>
      <c r="BM603" s="28"/>
      <c r="BN603" s="28"/>
      <c r="BO603" s="28"/>
    </row>
    <row r="604">
      <c r="A604" s="1"/>
      <c r="B604" s="1"/>
      <c r="C604" s="1"/>
      <c r="D604" s="1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  <c r="BH604" s="46"/>
      <c r="BI604" s="29"/>
      <c r="BJ604" s="28"/>
      <c r="BK604" s="28"/>
      <c r="BL604" s="28"/>
      <c r="BM604" s="28"/>
      <c r="BN604" s="28"/>
      <c r="BO604" s="28"/>
    </row>
    <row r="605">
      <c r="A605" s="1"/>
      <c r="B605" s="1"/>
      <c r="C605" s="1"/>
      <c r="D605" s="1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46"/>
      <c r="BI605" s="29"/>
      <c r="BJ605" s="28"/>
      <c r="BK605" s="28"/>
      <c r="BL605" s="28"/>
      <c r="BM605" s="28"/>
      <c r="BN605" s="28"/>
      <c r="BO605" s="28"/>
    </row>
    <row r="606">
      <c r="A606" s="1"/>
      <c r="B606" s="1"/>
      <c r="C606" s="1"/>
      <c r="D606" s="1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46"/>
      <c r="BI606" s="29"/>
      <c r="BJ606" s="28"/>
      <c r="BK606" s="28"/>
      <c r="BL606" s="28"/>
      <c r="BM606" s="28"/>
      <c r="BN606" s="28"/>
      <c r="BO606" s="28"/>
    </row>
    <row r="607">
      <c r="A607" s="1"/>
      <c r="B607" s="1"/>
      <c r="C607" s="1"/>
      <c r="D607" s="1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46"/>
      <c r="BI607" s="29"/>
      <c r="BJ607" s="28"/>
      <c r="BK607" s="28"/>
      <c r="BL607" s="28"/>
      <c r="BM607" s="28"/>
      <c r="BN607" s="28"/>
      <c r="BO607" s="28"/>
    </row>
    <row r="608">
      <c r="A608" s="1"/>
      <c r="B608" s="1"/>
      <c r="C608" s="1"/>
      <c r="D608" s="1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46"/>
      <c r="BI608" s="29"/>
      <c r="BJ608" s="28"/>
      <c r="BK608" s="28"/>
      <c r="BL608" s="28"/>
      <c r="BM608" s="28"/>
      <c r="BN608" s="28"/>
      <c r="BO608" s="28"/>
    </row>
    <row r="609">
      <c r="A609" s="1"/>
      <c r="B609" s="1"/>
      <c r="C609" s="1"/>
      <c r="D609" s="1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46"/>
      <c r="BI609" s="29"/>
      <c r="BJ609" s="28"/>
      <c r="BK609" s="28"/>
      <c r="BL609" s="28"/>
      <c r="BM609" s="28"/>
      <c r="BN609" s="28"/>
      <c r="BO609" s="28"/>
    </row>
    <row r="610">
      <c r="A610" s="1"/>
      <c r="B610" s="1"/>
      <c r="C610" s="1"/>
      <c r="D610" s="1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  <c r="BH610" s="46"/>
      <c r="BI610" s="29"/>
      <c r="BJ610" s="28"/>
      <c r="BK610" s="28"/>
      <c r="BL610" s="28"/>
      <c r="BM610" s="28"/>
      <c r="BN610" s="28"/>
      <c r="BO610" s="28"/>
    </row>
    <row r="611">
      <c r="A611" s="1"/>
      <c r="B611" s="1"/>
      <c r="C611" s="1"/>
      <c r="D611" s="1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46"/>
      <c r="BI611" s="29"/>
      <c r="BJ611" s="28"/>
      <c r="BK611" s="28"/>
      <c r="BL611" s="28"/>
      <c r="BM611" s="28"/>
      <c r="BN611" s="28"/>
      <c r="BO611" s="28"/>
    </row>
    <row r="612">
      <c r="A612" s="1"/>
      <c r="B612" s="1"/>
      <c r="C612" s="1"/>
      <c r="D612" s="1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46"/>
      <c r="BI612" s="29"/>
      <c r="BJ612" s="28"/>
      <c r="BK612" s="28"/>
      <c r="BL612" s="28"/>
      <c r="BM612" s="28"/>
      <c r="BN612" s="28"/>
      <c r="BO612" s="28"/>
    </row>
    <row r="613">
      <c r="A613" s="1"/>
      <c r="B613" s="1"/>
      <c r="C613" s="1"/>
      <c r="D613" s="1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  <c r="BH613" s="46"/>
      <c r="BI613" s="29"/>
      <c r="BJ613" s="28"/>
      <c r="BK613" s="28"/>
      <c r="BL613" s="28"/>
      <c r="BM613" s="28"/>
      <c r="BN613" s="28"/>
      <c r="BO613" s="28"/>
    </row>
    <row r="614">
      <c r="A614" s="1"/>
      <c r="B614" s="1"/>
      <c r="C614" s="1"/>
      <c r="D614" s="1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46"/>
      <c r="BI614" s="29"/>
      <c r="BJ614" s="28"/>
      <c r="BK614" s="28"/>
      <c r="BL614" s="28"/>
      <c r="BM614" s="28"/>
      <c r="BN614" s="28"/>
      <c r="BO614" s="28"/>
    </row>
    <row r="615">
      <c r="A615" s="1"/>
      <c r="B615" s="1"/>
      <c r="C615" s="1"/>
      <c r="D615" s="1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46"/>
      <c r="BI615" s="29"/>
      <c r="BJ615" s="28"/>
      <c r="BK615" s="28"/>
      <c r="BL615" s="28"/>
      <c r="BM615" s="28"/>
      <c r="BN615" s="28"/>
      <c r="BO615" s="28"/>
    </row>
    <row r="616">
      <c r="A616" s="1"/>
      <c r="B616" s="1"/>
      <c r="C616" s="1"/>
      <c r="D616" s="1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46"/>
      <c r="BI616" s="29"/>
      <c r="BJ616" s="28"/>
      <c r="BK616" s="28"/>
      <c r="BL616" s="28"/>
      <c r="BM616" s="28"/>
      <c r="BN616" s="28"/>
      <c r="BO616" s="28"/>
    </row>
    <row r="617">
      <c r="A617" s="1"/>
      <c r="B617" s="1"/>
      <c r="C617" s="1"/>
      <c r="D617" s="1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46"/>
      <c r="BI617" s="29"/>
      <c r="BJ617" s="28"/>
      <c r="BK617" s="28"/>
      <c r="BL617" s="28"/>
      <c r="BM617" s="28"/>
      <c r="BN617" s="28"/>
      <c r="BO617" s="28"/>
    </row>
    <row r="618">
      <c r="A618" s="1"/>
      <c r="B618" s="1"/>
      <c r="C618" s="1"/>
      <c r="D618" s="1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  <c r="BH618" s="46"/>
      <c r="BI618" s="29"/>
      <c r="BJ618" s="28"/>
      <c r="BK618" s="28"/>
      <c r="BL618" s="28"/>
      <c r="BM618" s="28"/>
      <c r="BN618" s="28"/>
      <c r="BO618" s="28"/>
    </row>
    <row r="619">
      <c r="A619" s="1"/>
      <c r="B619" s="1"/>
      <c r="C619" s="1"/>
      <c r="D619" s="1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  <c r="BG619" s="28"/>
      <c r="BH619" s="46"/>
      <c r="BI619" s="29"/>
      <c r="BJ619" s="28"/>
      <c r="BK619" s="28"/>
      <c r="BL619" s="28"/>
      <c r="BM619" s="28"/>
      <c r="BN619" s="28"/>
      <c r="BO619" s="28"/>
    </row>
    <row r="620">
      <c r="A620" s="1"/>
      <c r="B620" s="1"/>
      <c r="C620" s="1"/>
      <c r="D620" s="1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46"/>
      <c r="BI620" s="29"/>
      <c r="BJ620" s="28"/>
      <c r="BK620" s="28"/>
      <c r="BL620" s="28"/>
      <c r="BM620" s="28"/>
      <c r="BN620" s="28"/>
      <c r="BO620" s="28"/>
    </row>
    <row r="621">
      <c r="A621" s="1"/>
      <c r="B621" s="1"/>
      <c r="C621" s="1"/>
      <c r="D621" s="1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  <c r="BH621" s="46"/>
      <c r="BI621" s="29"/>
      <c r="BJ621" s="28"/>
      <c r="BK621" s="28"/>
      <c r="BL621" s="28"/>
      <c r="BM621" s="28"/>
      <c r="BN621" s="28"/>
      <c r="BO621" s="28"/>
    </row>
    <row r="622">
      <c r="A622" s="1"/>
      <c r="B622" s="1"/>
      <c r="C622" s="1"/>
      <c r="D622" s="1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  <c r="BG622" s="28"/>
      <c r="BH622" s="46"/>
      <c r="BI622" s="29"/>
      <c r="BJ622" s="28"/>
      <c r="BK622" s="28"/>
      <c r="BL622" s="28"/>
      <c r="BM622" s="28"/>
      <c r="BN622" s="28"/>
      <c r="BO622" s="28"/>
    </row>
    <row r="623">
      <c r="A623" s="1"/>
      <c r="B623" s="1"/>
      <c r="C623" s="1"/>
      <c r="D623" s="1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46"/>
      <c r="BI623" s="29"/>
      <c r="BJ623" s="28"/>
      <c r="BK623" s="28"/>
      <c r="BL623" s="28"/>
      <c r="BM623" s="28"/>
      <c r="BN623" s="28"/>
      <c r="BO623" s="28"/>
    </row>
    <row r="624">
      <c r="A624" s="1"/>
      <c r="B624" s="1"/>
      <c r="C624" s="1"/>
      <c r="D624" s="1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46"/>
      <c r="BI624" s="29"/>
      <c r="BJ624" s="28"/>
      <c r="BK624" s="28"/>
      <c r="BL624" s="28"/>
      <c r="BM624" s="28"/>
      <c r="BN624" s="28"/>
      <c r="BO624" s="28"/>
    </row>
    <row r="625">
      <c r="A625" s="1"/>
      <c r="B625" s="1"/>
      <c r="C625" s="1"/>
      <c r="D625" s="1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46"/>
      <c r="BI625" s="29"/>
      <c r="BJ625" s="28"/>
      <c r="BK625" s="28"/>
      <c r="BL625" s="28"/>
      <c r="BM625" s="28"/>
      <c r="BN625" s="28"/>
      <c r="BO625" s="28"/>
    </row>
    <row r="626">
      <c r="A626" s="1"/>
      <c r="B626" s="1"/>
      <c r="C626" s="1"/>
      <c r="D626" s="1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46"/>
      <c r="BI626" s="29"/>
      <c r="BJ626" s="28"/>
      <c r="BK626" s="28"/>
      <c r="BL626" s="28"/>
      <c r="BM626" s="28"/>
      <c r="BN626" s="28"/>
      <c r="BO626" s="28"/>
    </row>
    <row r="627">
      <c r="A627" s="1"/>
      <c r="B627" s="1"/>
      <c r="C627" s="1"/>
      <c r="D627" s="1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  <c r="BH627" s="46"/>
      <c r="BI627" s="29"/>
      <c r="BJ627" s="28"/>
      <c r="BK627" s="28"/>
      <c r="BL627" s="28"/>
      <c r="BM627" s="28"/>
      <c r="BN627" s="28"/>
      <c r="BO627" s="28"/>
    </row>
    <row r="628">
      <c r="A628" s="1"/>
      <c r="B628" s="1"/>
      <c r="C628" s="1"/>
      <c r="D628" s="1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46"/>
      <c r="BI628" s="29"/>
      <c r="BJ628" s="28"/>
      <c r="BK628" s="28"/>
      <c r="BL628" s="28"/>
      <c r="BM628" s="28"/>
      <c r="BN628" s="28"/>
      <c r="BO628" s="28"/>
    </row>
    <row r="629">
      <c r="A629" s="1"/>
      <c r="B629" s="1"/>
      <c r="C629" s="1"/>
      <c r="D629" s="1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  <c r="BH629" s="46"/>
      <c r="BI629" s="29"/>
      <c r="BJ629" s="28"/>
      <c r="BK629" s="28"/>
      <c r="BL629" s="28"/>
      <c r="BM629" s="28"/>
      <c r="BN629" s="28"/>
      <c r="BO629" s="28"/>
    </row>
    <row r="630">
      <c r="A630" s="1"/>
      <c r="B630" s="1"/>
      <c r="C630" s="1"/>
      <c r="D630" s="1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  <c r="BH630" s="46"/>
      <c r="BI630" s="29"/>
      <c r="BJ630" s="28"/>
      <c r="BK630" s="28"/>
      <c r="BL630" s="28"/>
      <c r="BM630" s="28"/>
      <c r="BN630" s="28"/>
      <c r="BO630" s="28"/>
    </row>
    <row r="631">
      <c r="A631" s="1"/>
      <c r="B631" s="1"/>
      <c r="C631" s="1"/>
      <c r="D631" s="1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  <c r="BH631" s="46"/>
      <c r="BI631" s="29"/>
      <c r="BJ631" s="28"/>
      <c r="BK631" s="28"/>
      <c r="BL631" s="28"/>
      <c r="BM631" s="28"/>
      <c r="BN631" s="28"/>
      <c r="BO631" s="28"/>
    </row>
    <row r="632">
      <c r="A632" s="1"/>
      <c r="B632" s="1"/>
      <c r="C632" s="1"/>
      <c r="D632" s="1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  <c r="BH632" s="46"/>
      <c r="BI632" s="29"/>
      <c r="BJ632" s="28"/>
      <c r="BK632" s="28"/>
      <c r="BL632" s="28"/>
      <c r="BM632" s="28"/>
      <c r="BN632" s="28"/>
      <c r="BO632" s="28"/>
    </row>
    <row r="633">
      <c r="A633" s="1"/>
      <c r="B633" s="1"/>
      <c r="C633" s="1"/>
      <c r="D633" s="1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46"/>
      <c r="BI633" s="29"/>
      <c r="BJ633" s="28"/>
      <c r="BK633" s="28"/>
      <c r="BL633" s="28"/>
      <c r="BM633" s="28"/>
      <c r="BN633" s="28"/>
      <c r="BO633" s="28"/>
    </row>
    <row r="634">
      <c r="A634" s="1"/>
      <c r="B634" s="1"/>
      <c r="C634" s="1"/>
      <c r="D634" s="1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46"/>
      <c r="BI634" s="29"/>
      <c r="BJ634" s="28"/>
      <c r="BK634" s="28"/>
      <c r="BL634" s="28"/>
      <c r="BM634" s="28"/>
      <c r="BN634" s="28"/>
      <c r="BO634" s="28"/>
    </row>
    <row r="635">
      <c r="A635" s="1"/>
      <c r="B635" s="1"/>
      <c r="C635" s="1"/>
      <c r="D635" s="1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  <c r="BH635" s="46"/>
      <c r="BI635" s="29"/>
      <c r="BJ635" s="28"/>
      <c r="BK635" s="28"/>
      <c r="BL635" s="28"/>
      <c r="BM635" s="28"/>
      <c r="BN635" s="28"/>
      <c r="BO635" s="28"/>
    </row>
    <row r="636">
      <c r="A636" s="1"/>
      <c r="B636" s="1"/>
      <c r="C636" s="1"/>
      <c r="D636" s="1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46"/>
      <c r="BI636" s="29"/>
      <c r="BJ636" s="28"/>
      <c r="BK636" s="28"/>
      <c r="BL636" s="28"/>
      <c r="BM636" s="28"/>
      <c r="BN636" s="28"/>
      <c r="BO636" s="28"/>
    </row>
    <row r="637">
      <c r="A637" s="1"/>
      <c r="B637" s="1"/>
      <c r="C637" s="1"/>
      <c r="D637" s="1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46"/>
      <c r="BI637" s="29"/>
      <c r="BJ637" s="28"/>
      <c r="BK637" s="28"/>
      <c r="BL637" s="28"/>
      <c r="BM637" s="28"/>
      <c r="BN637" s="28"/>
      <c r="BO637" s="28"/>
    </row>
    <row r="638">
      <c r="A638" s="1"/>
      <c r="B638" s="1"/>
      <c r="C638" s="1"/>
      <c r="D638" s="1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  <c r="BH638" s="46"/>
      <c r="BI638" s="29"/>
      <c r="BJ638" s="28"/>
      <c r="BK638" s="28"/>
      <c r="BL638" s="28"/>
      <c r="BM638" s="28"/>
      <c r="BN638" s="28"/>
      <c r="BO638" s="28"/>
    </row>
    <row r="639">
      <c r="A639" s="1"/>
      <c r="B639" s="1"/>
      <c r="C639" s="1"/>
      <c r="D639" s="1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46"/>
      <c r="BI639" s="29"/>
      <c r="BJ639" s="28"/>
      <c r="BK639" s="28"/>
      <c r="BL639" s="28"/>
      <c r="BM639" s="28"/>
      <c r="BN639" s="28"/>
      <c r="BO639" s="28"/>
    </row>
    <row r="640">
      <c r="A640" s="1"/>
      <c r="B640" s="1"/>
      <c r="C640" s="1"/>
      <c r="D640" s="1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46"/>
      <c r="BI640" s="29"/>
      <c r="BJ640" s="28"/>
      <c r="BK640" s="28"/>
      <c r="BL640" s="28"/>
      <c r="BM640" s="28"/>
      <c r="BN640" s="28"/>
      <c r="BO640" s="28"/>
    </row>
    <row r="641">
      <c r="A641" s="1"/>
      <c r="B641" s="1"/>
      <c r="C641" s="1"/>
      <c r="D641" s="1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  <c r="BH641" s="46"/>
      <c r="BI641" s="29"/>
      <c r="BJ641" s="28"/>
      <c r="BK641" s="28"/>
      <c r="BL641" s="28"/>
      <c r="BM641" s="28"/>
      <c r="BN641" s="28"/>
      <c r="BO641" s="28"/>
    </row>
    <row r="642">
      <c r="A642" s="1"/>
      <c r="B642" s="1"/>
      <c r="C642" s="1"/>
      <c r="D642" s="1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46"/>
      <c r="BI642" s="29"/>
      <c r="BJ642" s="28"/>
      <c r="BK642" s="28"/>
      <c r="BL642" s="28"/>
      <c r="BM642" s="28"/>
      <c r="BN642" s="28"/>
      <c r="BO642" s="28"/>
    </row>
    <row r="643">
      <c r="A643" s="1"/>
      <c r="B643" s="1"/>
      <c r="C643" s="1"/>
      <c r="D643" s="1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46"/>
      <c r="BI643" s="29"/>
      <c r="BJ643" s="28"/>
      <c r="BK643" s="28"/>
      <c r="BL643" s="28"/>
      <c r="BM643" s="28"/>
      <c r="BN643" s="28"/>
      <c r="BO643" s="28"/>
    </row>
    <row r="644">
      <c r="A644" s="1"/>
      <c r="B644" s="1"/>
      <c r="C644" s="1"/>
      <c r="D644" s="1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  <c r="BH644" s="46"/>
      <c r="BI644" s="29"/>
      <c r="BJ644" s="28"/>
      <c r="BK644" s="28"/>
      <c r="BL644" s="28"/>
      <c r="BM644" s="28"/>
      <c r="BN644" s="28"/>
      <c r="BO644" s="28"/>
    </row>
    <row r="645">
      <c r="A645" s="1"/>
      <c r="B645" s="1"/>
      <c r="C645" s="1"/>
      <c r="D645" s="1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46"/>
      <c r="BI645" s="29"/>
      <c r="BJ645" s="28"/>
      <c r="BK645" s="28"/>
      <c r="BL645" s="28"/>
      <c r="BM645" s="28"/>
      <c r="BN645" s="28"/>
      <c r="BO645" s="28"/>
    </row>
    <row r="646">
      <c r="A646" s="1"/>
      <c r="B646" s="1"/>
      <c r="C646" s="1"/>
      <c r="D646" s="1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  <c r="BH646" s="46"/>
      <c r="BI646" s="29"/>
      <c r="BJ646" s="28"/>
      <c r="BK646" s="28"/>
      <c r="BL646" s="28"/>
      <c r="BM646" s="28"/>
      <c r="BN646" s="28"/>
      <c r="BO646" s="28"/>
    </row>
    <row r="647">
      <c r="A647" s="1"/>
      <c r="B647" s="1"/>
      <c r="C647" s="1"/>
      <c r="D647" s="1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  <c r="BG647" s="28"/>
      <c r="BH647" s="46"/>
      <c r="BI647" s="29"/>
      <c r="BJ647" s="28"/>
      <c r="BK647" s="28"/>
      <c r="BL647" s="28"/>
      <c r="BM647" s="28"/>
      <c r="BN647" s="28"/>
      <c r="BO647" s="28"/>
    </row>
    <row r="648">
      <c r="A648" s="1"/>
      <c r="B648" s="1"/>
      <c r="C648" s="1"/>
      <c r="D648" s="1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46"/>
      <c r="BI648" s="29"/>
      <c r="BJ648" s="28"/>
      <c r="BK648" s="28"/>
      <c r="BL648" s="28"/>
      <c r="BM648" s="28"/>
      <c r="BN648" s="28"/>
      <c r="BO648" s="28"/>
    </row>
    <row r="649">
      <c r="A649" s="1"/>
      <c r="B649" s="1"/>
      <c r="C649" s="1"/>
      <c r="D649" s="1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46"/>
      <c r="BI649" s="29"/>
      <c r="BJ649" s="28"/>
      <c r="BK649" s="28"/>
      <c r="BL649" s="28"/>
      <c r="BM649" s="28"/>
      <c r="BN649" s="28"/>
      <c r="BO649" s="28"/>
    </row>
    <row r="650">
      <c r="A650" s="1"/>
      <c r="B650" s="1"/>
      <c r="C650" s="1"/>
      <c r="D650" s="1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46"/>
      <c r="BI650" s="29"/>
      <c r="BJ650" s="28"/>
      <c r="BK650" s="28"/>
      <c r="BL650" s="28"/>
      <c r="BM650" s="28"/>
      <c r="BN650" s="28"/>
      <c r="BO650" s="28"/>
    </row>
    <row r="651">
      <c r="A651" s="1"/>
      <c r="B651" s="1"/>
      <c r="C651" s="1"/>
      <c r="D651" s="1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46"/>
      <c r="BI651" s="29"/>
      <c r="BJ651" s="28"/>
      <c r="BK651" s="28"/>
      <c r="BL651" s="28"/>
      <c r="BM651" s="28"/>
      <c r="BN651" s="28"/>
      <c r="BO651" s="28"/>
    </row>
    <row r="652">
      <c r="A652" s="1"/>
      <c r="B652" s="1"/>
      <c r="C652" s="1"/>
      <c r="D652" s="1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46"/>
      <c r="BI652" s="29"/>
      <c r="BJ652" s="28"/>
      <c r="BK652" s="28"/>
      <c r="BL652" s="28"/>
      <c r="BM652" s="28"/>
      <c r="BN652" s="28"/>
      <c r="BO652" s="28"/>
    </row>
    <row r="653">
      <c r="A653" s="1"/>
      <c r="B653" s="1"/>
      <c r="C653" s="1"/>
      <c r="D653" s="1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  <c r="BH653" s="46"/>
      <c r="BI653" s="29"/>
      <c r="BJ653" s="28"/>
      <c r="BK653" s="28"/>
      <c r="BL653" s="28"/>
      <c r="BM653" s="28"/>
      <c r="BN653" s="28"/>
      <c r="BO653" s="28"/>
    </row>
    <row r="654">
      <c r="A654" s="1"/>
      <c r="B654" s="1"/>
      <c r="C654" s="1"/>
      <c r="D654" s="1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46"/>
      <c r="BI654" s="29"/>
      <c r="BJ654" s="28"/>
      <c r="BK654" s="28"/>
      <c r="BL654" s="28"/>
      <c r="BM654" s="28"/>
      <c r="BN654" s="28"/>
      <c r="BO654" s="28"/>
    </row>
    <row r="655">
      <c r="A655" s="1"/>
      <c r="B655" s="1"/>
      <c r="C655" s="1"/>
      <c r="D655" s="1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  <c r="BH655" s="46"/>
      <c r="BI655" s="29"/>
      <c r="BJ655" s="28"/>
      <c r="BK655" s="28"/>
      <c r="BL655" s="28"/>
      <c r="BM655" s="28"/>
      <c r="BN655" s="28"/>
      <c r="BO655" s="28"/>
    </row>
    <row r="656">
      <c r="A656" s="1"/>
      <c r="B656" s="1"/>
      <c r="C656" s="1"/>
      <c r="D656" s="1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  <c r="BG656" s="28"/>
      <c r="BH656" s="46"/>
      <c r="BI656" s="29"/>
      <c r="BJ656" s="28"/>
      <c r="BK656" s="28"/>
      <c r="BL656" s="28"/>
      <c r="BM656" s="28"/>
      <c r="BN656" s="28"/>
      <c r="BO656" s="28"/>
    </row>
    <row r="657">
      <c r="A657" s="1"/>
      <c r="B657" s="1"/>
      <c r="C657" s="1"/>
      <c r="D657" s="1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46"/>
      <c r="BI657" s="29"/>
      <c r="BJ657" s="28"/>
      <c r="BK657" s="28"/>
      <c r="BL657" s="28"/>
      <c r="BM657" s="28"/>
      <c r="BN657" s="28"/>
      <c r="BO657" s="28"/>
    </row>
    <row r="658">
      <c r="A658" s="1"/>
      <c r="B658" s="1"/>
      <c r="C658" s="1"/>
      <c r="D658" s="1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  <c r="BH658" s="46"/>
      <c r="BI658" s="29"/>
      <c r="BJ658" s="28"/>
      <c r="BK658" s="28"/>
      <c r="BL658" s="28"/>
      <c r="BM658" s="28"/>
      <c r="BN658" s="28"/>
      <c r="BO658" s="28"/>
    </row>
    <row r="659">
      <c r="A659" s="1"/>
      <c r="B659" s="1"/>
      <c r="C659" s="1"/>
      <c r="D659" s="1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46"/>
      <c r="BI659" s="29"/>
      <c r="BJ659" s="28"/>
      <c r="BK659" s="28"/>
      <c r="BL659" s="28"/>
      <c r="BM659" s="28"/>
      <c r="BN659" s="28"/>
      <c r="BO659" s="28"/>
    </row>
    <row r="660">
      <c r="A660" s="1"/>
      <c r="B660" s="1"/>
      <c r="C660" s="1"/>
      <c r="D660" s="1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46"/>
      <c r="BI660" s="29"/>
      <c r="BJ660" s="28"/>
      <c r="BK660" s="28"/>
      <c r="BL660" s="28"/>
      <c r="BM660" s="28"/>
      <c r="BN660" s="28"/>
      <c r="BO660" s="28"/>
    </row>
    <row r="661">
      <c r="A661" s="1"/>
      <c r="B661" s="1"/>
      <c r="C661" s="1"/>
      <c r="D661" s="1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46"/>
      <c r="BI661" s="29"/>
      <c r="BJ661" s="28"/>
      <c r="BK661" s="28"/>
      <c r="BL661" s="28"/>
      <c r="BM661" s="28"/>
      <c r="BN661" s="28"/>
      <c r="BO661" s="28"/>
    </row>
    <row r="662">
      <c r="A662" s="1"/>
      <c r="B662" s="1"/>
      <c r="C662" s="1"/>
      <c r="D662" s="1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  <c r="BH662" s="46"/>
      <c r="BI662" s="29"/>
      <c r="BJ662" s="28"/>
      <c r="BK662" s="28"/>
      <c r="BL662" s="28"/>
      <c r="BM662" s="28"/>
      <c r="BN662" s="28"/>
      <c r="BO662" s="28"/>
    </row>
    <row r="663">
      <c r="A663" s="1"/>
      <c r="B663" s="1"/>
      <c r="C663" s="1"/>
      <c r="D663" s="1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46"/>
      <c r="BI663" s="29"/>
      <c r="BJ663" s="28"/>
      <c r="BK663" s="28"/>
      <c r="BL663" s="28"/>
      <c r="BM663" s="28"/>
      <c r="BN663" s="28"/>
      <c r="BO663" s="28"/>
    </row>
    <row r="664">
      <c r="A664" s="1"/>
      <c r="B664" s="1"/>
      <c r="C664" s="1"/>
      <c r="D664" s="1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46"/>
      <c r="BI664" s="29"/>
      <c r="BJ664" s="28"/>
      <c r="BK664" s="28"/>
      <c r="BL664" s="28"/>
      <c r="BM664" s="28"/>
      <c r="BN664" s="28"/>
      <c r="BO664" s="28"/>
    </row>
    <row r="665">
      <c r="A665" s="1"/>
      <c r="B665" s="1"/>
      <c r="C665" s="1"/>
      <c r="D665" s="1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  <c r="BG665" s="28"/>
      <c r="BH665" s="46"/>
      <c r="BI665" s="29"/>
      <c r="BJ665" s="28"/>
      <c r="BK665" s="28"/>
      <c r="BL665" s="28"/>
      <c r="BM665" s="28"/>
      <c r="BN665" s="28"/>
      <c r="BO665" s="28"/>
    </row>
    <row r="666">
      <c r="A666" s="1"/>
      <c r="B666" s="1"/>
      <c r="C666" s="1"/>
      <c r="D666" s="1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46"/>
      <c r="BI666" s="29"/>
      <c r="BJ666" s="28"/>
      <c r="BK666" s="28"/>
      <c r="BL666" s="28"/>
      <c r="BM666" s="28"/>
      <c r="BN666" s="28"/>
      <c r="BO666" s="28"/>
    </row>
    <row r="667">
      <c r="A667" s="1"/>
      <c r="B667" s="1"/>
      <c r="C667" s="1"/>
      <c r="D667" s="1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  <c r="BH667" s="46"/>
      <c r="BI667" s="29"/>
      <c r="BJ667" s="28"/>
      <c r="BK667" s="28"/>
      <c r="BL667" s="28"/>
      <c r="BM667" s="28"/>
      <c r="BN667" s="28"/>
      <c r="BO667" s="28"/>
    </row>
    <row r="668">
      <c r="A668" s="1"/>
      <c r="B668" s="1"/>
      <c r="C668" s="1"/>
      <c r="D668" s="1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  <c r="BH668" s="46"/>
      <c r="BI668" s="29"/>
      <c r="BJ668" s="28"/>
      <c r="BK668" s="28"/>
      <c r="BL668" s="28"/>
      <c r="BM668" s="28"/>
      <c r="BN668" s="28"/>
      <c r="BO668" s="28"/>
    </row>
    <row r="669">
      <c r="A669" s="1"/>
      <c r="B669" s="1"/>
      <c r="C669" s="1"/>
      <c r="D669" s="1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46"/>
      <c r="BI669" s="29"/>
      <c r="BJ669" s="28"/>
      <c r="BK669" s="28"/>
      <c r="BL669" s="28"/>
      <c r="BM669" s="28"/>
      <c r="BN669" s="28"/>
      <c r="BO669" s="28"/>
    </row>
    <row r="670">
      <c r="A670" s="1"/>
      <c r="B670" s="1"/>
      <c r="C670" s="1"/>
      <c r="D670" s="1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  <c r="BH670" s="46"/>
      <c r="BI670" s="29"/>
      <c r="BJ670" s="28"/>
      <c r="BK670" s="28"/>
      <c r="BL670" s="28"/>
      <c r="BM670" s="28"/>
      <c r="BN670" s="28"/>
      <c r="BO670" s="28"/>
    </row>
    <row r="671">
      <c r="A671" s="1"/>
      <c r="B671" s="1"/>
      <c r="C671" s="1"/>
      <c r="D671" s="1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  <c r="BG671" s="28"/>
      <c r="BH671" s="46"/>
      <c r="BI671" s="29"/>
      <c r="BJ671" s="28"/>
      <c r="BK671" s="28"/>
      <c r="BL671" s="28"/>
      <c r="BM671" s="28"/>
      <c r="BN671" s="28"/>
      <c r="BO671" s="28"/>
    </row>
    <row r="672">
      <c r="A672" s="1"/>
      <c r="B672" s="1"/>
      <c r="C672" s="1"/>
      <c r="D672" s="1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46"/>
      <c r="BI672" s="29"/>
      <c r="BJ672" s="28"/>
      <c r="BK672" s="28"/>
      <c r="BL672" s="28"/>
      <c r="BM672" s="28"/>
      <c r="BN672" s="28"/>
      <c r="BO672" s="28"/>
    </row>
    <row r="673">
      <c r="A673" s="1"/>
      <c r="B673" s="1"/>
      <c r="C673" s="1"/>
      <c r="D673" s="1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  <c r="BH673" s="46"/>
      <c r="BI673" s="29"/>
      <c r="BJ673" s="28"/>
      <c r="BK673" s="28"/>
      <c r="BL673" s="28"/>
      <c r="BM673" s="28"/>
      <c r="BN673" s="28"/>
      <c r="BO673" s="28"/>
    </row>
    <row r="674">
      <c r="A674" s="1"/>
      <c r="B674" s="1"/>
      <c r="C674" s="1"/>
      <c r="D674" s="1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  <c r="BG674" s="28"/>
      <c r="BH674" s="46"/>
      <c r="BI674" s="29"/>
      <c r="BJ674" s="28"/>
      <c r="BK674" s="28"/>
      <c r="BL674" s="28"/>
      <c r="BM674" s="28"/>
      <c r="BN674" s="28"/>
      <c r="BO674" s="28"/>
    </row>
    <row r="675">
      <c r="A675" s="1"/>
      <c r="B675" s="1"/>
      <c r="C675" s="1"/>
      <c r="D675" s="1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46"/>
      <c r="BI675" s="29"/>
      <c r="BJ675" s="28"/>
      <c r="BK675" s="28"/>
      <c r="BL675" s="28"/>
      <c r="BM675" s="28"/>
      <c r="BN675" s="28"/>
      <c r="BO675" s="28"/>
    </row>
    <row r="676">
      <c r="A676" s="1"/>
      <c r="B676" s="1"/>
      <c r="C676" s="1"/>
      <c r="D676" s="1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  <c r="BH676" s="46"/>
      <c r="BI676" s="29"/>
      <c r="BJ676" s="28"/>
      <c r="BK676" s="28"/>
      <c r="BL676" s="28"/>
      <c r="BM676" s="28"/>
      <c r="BN676" s="28"/>
      <c r="BO676" s="28"/>
    </row>
    <row r="677">
      <c r="A677" s="1"/>
      <c r="B677" s="1"/>
      <c r="C677" s="1"/>
      <c r="D677" s="1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  <c r="BG677" s="28"/>
      <c r="BH677" s="46"/>
      <c r="BI677" s="29"/>
      <c r="BJ677" s="28"/>
      <c r="BK677" s="28"/>
      <c r="BL677" s="28"/>
      <c r="BM677" s="28"/>
      <c r="BN677" s="28"/>
      <c r="BO677" s="28"/>
    </row>
    <row r="678">
      <c r="A678" s="1"/>
      <c r="B678" s="1"/>
      <c r="C678" s="1"/>
      <c r="D678" s="1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  <c r="BH678" s="46"/>
      <c r="BI678" s="29"/>
      <c r="BJ678" s="28"/>
      <c r="BK678" s="28"/>
      <c r="BL678" s="28"/>
      <c r="BM678" s="28"/>
      <c r="BN678" s="28"/>
      <c r="BO678" s="28"/>
    </row>
    <row r="679">
      <c r="A679" s="1"/>
      <c r="B679" s="1"/>
      <c r="C679" s="1"/>
      <c r="D679" s="1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46"/>
      <c r="BI679" s="29"/>
      <c r="BJ679" s="28"/>
      <c r="BK679" s="28"/>
      <c r="BL679" s="28"/>
      <c r="BM679" s="28"/>
      <c r="BN679" s="28"/>
      <c r="BO679" s="28"/>
    </row>
    <row r="680">
      <c r="A680" s="1"/>
      <c r="B680" s="1"/>
      <c r="C680" s="1"/>
      <c r="D680" s="1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46"/>
      <c r="BI680" s="29"/>
      <c r="BJ680" s="28"/>
      <c r="BK680" s="28"/>
      <c r="BL680" s="28"/>
      <c r="BM680" s="28"/>
      <c r="BN680" s="28"/>
      <c r="BO680" s="28"/>
    </row>
    <row r="681">
      <c r="A681" s="1"/>
      <c r="B681" s="1"/>
      <c r="C681" s="1"/>
      <c r="D681" s="1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  <c r="BH681" s="46"/>
      <c r="BI681" s="29"/>
      <c r="BJ681" s="28"/>
      <c r="BK681" s="28"/>
      <c r="BL681" s="28"/>
      <c r="BM681" s="28"/>
      <c r="BN681" s="28"/>
      <c r="BO681" s="28"/>
    </row>
    <row r="682">
      <c r="A682" s="1"/>
      <c r="B682" s="1"/>
      <c r="C682" s="1"/>
      <c r="D682" s="1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46"/>
      <c r="BI682" s="29"/>
      <c r="BJ682" s="28"/>
      <c r="BK682" s="28"/>
      <c r="BL682" s="28"/>
      <c r="BM682" s="28"/>
      <c r="BN682" s="28"/>
      <c r="BO682" s="28"/>
    </row>
    <row r="683">
      <c r="A683" s="1"/>
      <c r="B683" s="1"/>
      <c r="C683" s="1"/>
      <c r="D683" s="1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46"/>
      <c r="BI683" s="29"/>
      <c r="BJ683" s="28"/>
      <c r="BK683" s="28"/>
      <c r="BL683" s="28"/>
      <c r="BM683" s="28"/>
      <c r="BN683" s="28"/>
      <c r="BO683" s="28"/>
    </row>
    <row r="684">
      <c r="A684" s="1"/>
      <c r="B684" s="1"/>
      <c r="C684" s="1"/>
      <c r="D684" s="1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  <c r="BH684" s="46"/>
      <c r="BI684" s="29"/>
      <c r="BJ684" s="28"/>
      <c r="BK684" s="28"/>
      <c r="BL684" s="28"/>
      <c r="BM684" s="28"/>
      <c r="BN684" s="28"/>
      <c r="BO684" s="28"/>
    </row>
    <row r="685">
      <c r="A685" s="1"/>
      <c r="B685" s="1"/>
      <c r="C685" s="1"/>
      <c r="D685" s="1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46"/>
      <c r="BI685" s="29"/>
      <c r="BJ685" s="28"/>
      <c r="BK685" s="28"/>
      <c r="BL685" s="28"/>
      <c r="BM685" s="28"/>
      <c r="BN685" s="28"/>
      <c r="BO685" s="28"/>
    </row>
    <row r="686">
      <c r="A686" s="1"/>
      <c r="B686" s="1"/>
      <c r="C686" s="1"/>
      <c r="D686" s="1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46"/>
      <c r="BI686" s="29"/>
      <c r="BJ686" s="28"/>
      <c r="BK686" s="28"/>
      <c r="BL686" s="28"/>
      <c r="BM686" s="28"/>
      <c r="BN686" s="28"/>
      <c r="BO686" s="28"/>
    </row>
    <row r="687">
      <c r="A687" s="1"/>
      <c r="B687" s="1"/>
      <c r="C687" s="1"/>
      <c r="D687" s="1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46"/>
      <c r="BI687" s="29"/>
      <c r="BJ687" s="28"/>
      <c r="BK687" s="28"/>
      <c r="BL687" s="28"/>
      <c r="BM687" s="28"/>
      <c r="BN687" s="28"/>
      <c r="BO687" s="28"/>
    </row>
    <row r="688">
      <c r="A688" s="1"/>
      <c r="B688" s="1"/>
      <c r="C688" s="1"/>
      <c r="D688" s="1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46"/>
      <c r="BI688" s="29"/>
      <c r="BJ688" s="28"/>
      <c r="BK688" s="28"/>
      <c r="BL688" s="28"/>
      <c r="BM688" s="28"/>
      <c r="BN688" s="28"/>
      <c r="BO688" s="28"/>
    </row>
    <row r="689">
      <c r="A689" s="1"/>
      <c r="B689" s="1"/>
      <c r="C689" s="1"/>
      <c r="D689" s="1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46"/>
      <c r="BI689" s="29"/>
      <c r="BJ689" s="28"/>
      <c r="BK689" s="28"/>
      <c r="BL689" s="28"/>
      <c r="BM689" s="28"/>
      <c r="BN689" s="28"/>
      <c r="BO689" s="28"/>
    </row>
    <row r="690">
      <c r="A690" s="1"/>
      <c r="B690" s="1"/>
      <c r="C690" s="1"/>
      <c r="D690" s="1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46"/>
      <c r="BI690" s="29"/>
      <c r="BJ690" s="28"/>
      <c r="BK690" s="28"/>
      <c r="BL690" s="28"/>
      <c r="BM690" s="28"/>
      <c r="BN690" s="28"/>
      <c r="BO690" s="28"/>
    </row>
    <row r="691">
      <c r="A691" s="1"/>
      <c r="B691" s="1"/>
      <c r="C691" s="1"/>
      <c r="D691" s="1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46"/>
      <c r="BI691" s="29"/>
      <c r="BJ691" s="28"/>
      <c r="BK691" s="28"/>
      <c r="BL691" s="28"/>
      <c r="BM691" s="28"/>
      <c r="BN691" s="28"/>
      <c r="BO691" s="28"/>
    </row>
    <row r="692">
      <c r="A692" s="1"/>
      <c r="B692" s="1"/>
      <c r="C692" s="1"/>
      <c r="D692" s="1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46"/>
      <c r="BI692" s="29"/>
      <c r="BJ692" s="28"/>
      <c r="BK692" s="28"/>
      <c r="BL692" s="28"/>
      <c r="BM692" s="28"/>
      <c r="BN692" s="28"/>
      <c r="BO692" s="28"/>
    </row>
    <row r="693">
      <c r="A693" s="1"/>
      <c r="B693" s="1"/>
      <c r="C693" s="1"/>
      <c r="D693" s="1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46"/>
      <c r="BI693" s="29"/>
      <c r="BJ693" s="28"/>
      <c r="BK693" s="28"/>
      <c r="BL693" s="28"/>
      <c r="BM693" s="28"/>
      <c r="BN693" s="28"/>
      <c r="BO693" s="28"/>
    </row>
    <row r="694">
      <c r="A694" s="1"/>
      <c r="B694" s="1"/>
      <c r="C694" s="1"/>
      <c r="D694" s="1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46"/>
      <c r="BI694" s="29"/>
      <c r="BJ694" s="28"/>
      <c r="BK694" s="28"/>
      <c r="BL694" s="28"/>
      <c r="BM694" s="28"/>
      <c r="BN694" s="28"/>
      <c r="BO694" s="28"/>
    </row>
    <row r="695">
      <c r="A695" s="1"/>
      <c r="B695" s="1"/>
      <c r="C695" s="1"/>
      <c r="D695" s="1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46"/>
      <c r="BI695" s="29"/>
      <c r="BJ695" s="28"/>
      <c r="BK695" s="28"/>
      <c r="BL695" s="28"/>
      <c r="BM695" s="28"/>
      <c r="BN695" s="28"/>
      <c r="BO695" s="28"/>
    </row>
    <row r="696">
      <c r="A696" s="1"/>
      <c r="B696" s="1"/>
      <c r="C696" s="1"/>
      <c r="D696" s="1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46"/>
      <c r="BI696" s="29"/>
      <c r="BJ696" s="28"/>
      <c r="BK696" s="28"/>
      <c r="BL696" s="28"/>
      <c r="BM696" s="28"/>
      <c r="BN696" s="28"/>
      <c r="BO696" s="28"/>
    </row>
    <row r="697">
      <c r="A697" s="1"/>
      <c r="B697" s="1"/>
      <c r="C697" s="1"/>
      <c r="D697" s="1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46"/>
      <c r="BI697" s="29"/>
      <c r="BJ697" s="28"/>
      <c r="BK697" s="28"/>
      <c r="BL697" s="28"/>
      <c r="BM697" s="28"/>
      <c r="BN697" s="28"/>
      <c r="BO697" s="28"/>
    </row>
    <row r="698">
      <c r="A698" s="1"/>
      <c r="B698" s="1"/>
      <c r="C698" s="1"/>
      <c r="D698" s="1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46"/>
      <c r="BI698" s="29"/>
      <c r="BJ698" s="28"/>
      <c r="BK698" s="28"/>
      <c r="BL698" s="28"/>
      <c r="BM698" s="28"/>
      <c r="BN698" s="28"/>
      <c r="BO698" s="28"/>
    </row>
    <row r="699">
      <c r="A699" s="1"/>
      <c r="B699" s="1"/>
      <c r="C699" s="1"/>
      <c r="D699" s="1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46"/>
      <c r="BI699" s="29"/>
      <c r="BJ699" s="28"/>
      <c r="BK699" s="28"/>
      <c r="BL699" s="28"/>
      <c r="BM699" s="28"/>
      <c r="BN699" s="28"/>
      <c r="BO699" s="28"/>
    </row>
    <row r="700">
      <c r="A700" s="1"/>
      <c r="B700" s="1"/>
      <c r="C700" s="1"/>
      <c r="D700" s="1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46"/>
      <c r="BI700" s="29"/>
      <c r="BJ700" s="28"/>
      <c r="BK700" s="28"/>
      <c r="BL700" s="28"/>
      <c r="BM700" s="28"/>
      <c r="BN700" s="28"/>
      <c r="BO700" s="28"/>
    </row>
    <row r="701">
      <c r="A701" s="1"/>
      <c r="B701" s="1"/>
      <c r="C701" s="1"/>
      <c r="D701" s="1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46"/>
      <c r="BI701" s="29"/>
      <c r="BJ701" s="28"/>
      <c r="BK701" s="28"/>
      <c r="BL701" s="28"/>
      <c r="BM701" s="28"/>
      <c r="BN701" s="28"/>
      <c r="BO701" s="28"/>
    </row>
    <row r="702">
      <c r="A702" s="1"/>
      <c r="B702" s="1"/>
      <c r="C702" s="1"/>
      <c r="D702" s="1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46"/>
      <c r="BI702" s="29"/>
      <c r="BJ702" s="28"/>
      <c r="BK702" s="28"/>
      <c r="BL702" s="28"/>
      <c r="BM702" s="28"/>
      <c r="BN702" s="28"/>
      <c r="BO702" s="28"/>
    </row>
    <row r="703">
      <c r="A703" s="1"/>
      <c r="B703" s="1"/>
      <c r="C703" s="1"/>
      <c r="D703" s="1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46"/>
      <c r="BI703" s="29"/>
      <c r="BJ703" s="28"/>
      <c r="BK703" s="28"/>
      <c r="BL703" s="28"/>
      <c r="BM703" s="28"/>
      <c r="BN703" s="28"/>
      <c r="BO703" s="28"/>
    </row>
    <row r="704">
      <c r="A704" s="1"/>
      <c r="B704" s="1"/>
      <c r="C704" s="1"/>
      <c r="D704" s="1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46"/>
      <c r="BI704" s="29"/>
      <c r="BJ704" s="28"/>
      <c r="BK704" s="28"/>
      <c r="BL704" s="28"/>
      <c r="BM704" s="28"/>
      <c r="BN704" s="28"/>
      <c r="BO704" s="28"/>
    </row>
    <row r="705">
      <c r="A705" s="1"/>
      <c r="B705" s="1"/>
      <c r="C705" s="1"/>
      <c r="D705" s="1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46"/>
      <c r="BI705" s="29"/>
      <c r="BJ705" s="28"/>
      <c r="BK705" s="28"/>
      <c r="BL705" s="28"/>
      <c r="BM705" s="28"/>
      <c r="BN705" s="28"/>
      <c r="BO705" s="28"/>
    </row>
    <row r="706">
      <c r="A706" s="1"/>
      <c r="B706" s="1"/>
      <c r="C706" s="1"/>
      <c r="D706" s="1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46"/>
      <c r="BI706" s="29"/>
      <c r="BJ706" s="28"/>
      <c r="BK706" s="28"/>
      <c r="BL706" s="28"/>
      <c r="BM706" s="28"/>
      <c r="BN706" s="28"/>
      <c r="BO706" s="28"/>
    </row>
    <row r="707">
      <c r="A707" s="1"/>
      <c r="B707" s="1"/>
      <c r="C707" s="1"/>
      <c r="D707" s="1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46"/>
      <c r="BI707" s="29"/>
      <c r="BJ707" s="28"/>
      <c r="BK707" s="28"/>
      <c r="BL707" s="28"/>
      <c r="BM707" s="28"/>
      <c r="BN707" s="28"/>
      <c r="BO707" s="28"/>
    </row>
    <row r="708">
      <c r="A708" s="1"/>
      <c r="B708" s="1"/>
      <c r="C708" s="1"/>
      <c r="D708" s="1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46"/>
      <c r="BI708" s="29"/>
      <c r="BJ708" s="28"/>
      <c r="BK708" s="28"/>
      <c r="BL708" s="28"/>
      <c r="BM708" s="28"/>
      <c r="BN708" s="28"/>
      <c r="BO708" s="28"/>
    </row>
    <row r="709">
      <c r="A709" s="1"/>
      <c r="B709" s="1"/>
      <c r="C709" s="1"/>
      <c r="D709" s="1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46"/>
      <c r="BI709" s="29"/>
      <c r="BJ709" s="28"/>
      <c r="BK709" s="28"/>
      <c r="BL709" s="28"/>
      <c r="BM709" s="28"/>
      <c r="BN709" s="28"/>
      <c r="BO709" s="28"/>
    </row>
    <row r="710">
      <c r="A710" s="1"/>
      <c r="B710" s="1"/>
      <c r="C710" s="1"/>
      <c r="D710" s="1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46"/>
      <c r="BI710" s="29"/>
      <c r="BJ710" s="28"/>
      <c r="BK710" s="28"/>
      <c r="BL710" s="28"/>
      <c r="BM710" s="28"/>
      <c r="BN710" s="28"/>
      <c r="BO710" s="28"/>
    </row>
    <row r="711">
      <c r="A711" s="1"/>
      <c r="B711" s="1"/>
      <c r="C711" s="1"/>
      <c r="D711" s="1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46"/>
      <c r="BI711" s="29"/>
      <c r="BJ711" s="28"/>
      <c r="BK711" s="28"/>
      <c r="BL711" s="28"/>
      <c r="BM711" s="28"/>
      <c r="BN711" s="28"/>
      <c r="BO711" s="28"/>
    </row>
    <row r="712">
      <c r="A712" s="1"/>
      <c r="B712" s="1"/>
      <c r="C712" s="1"/>
      <c r="D712" s="1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46"/>
      <c r="BI712" s="29"/>
      <c r="BJ712" s="28"/>
      <c r="BK712" s="28"/>
      <c r="BL712" s="28"/>
      <c r="BM712" s="28"/>
      <c r="BN712" s="28"/>
      <c r="BO712" s="28"/>
    </row>
    <row r="713">
      <c r="A713" s="1"/>
      <c r="B713" s="1"/>
      <c r="C713" s="1"/>
      <c r="D713" s="1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46"/>
      <c r="BI713" s="29"/>
      <c r="BJ713" s="28"/>
      <c r="BK713" s="28"/>
      <c r="BL713" s="28"/>
      <c r="BM713" s="28"/>
      <c r="BN713" s="28"/>
      <c r="BO713" s="28"/>
    </row>
    <row r="714">
      <c r="A714" s="1"/>
      <c r="B714" s="1"/>
      <c r="C714" s="1"/>
      <c r="D714" s="1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46"/>
      <c r="BI714" s="29"/>
      <c r="BJ714" s="28"/>
      <c r="BK714" s="28"/>
      <c r="BL714" s="28"/>
      <c r="BM714" s="28"/>
      <c r="BN714" s="28"/>
      <c r="BO714" s="28"/>
    </row>
    <row r="715">
      <c r="A715" s="1"/>
      <c r="B715" s="1"/>
      <c r="C715" s="1"/>
      <c r="D715" s="1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46"/>
      <c r="BI715" s="29"/>
      <c r="BJ715" s="28"/>
      <c r="BK715" s="28"/>
      <c r="BL715" s="28"/>
      <c r="BM715" s="28"/>
      <c r="BN715" s="28"/>
      <c r="BO715" s="28"/>
    </row>
    <row r="716">
      <c r="A716" s="1"/>
      <c r="B716" s="1"/>
      <c r="C716" s="1"/>
      <c r="D716" s="1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46"/>
      <c r="BI716" s="29"/>
      <c r="BJ716" s="28"/>
      <c r="BK716" s="28"/>
      <c r="BL716" s="28"/>
      <c r="BM716" s="28"/>
      <c r="BN716" s="28"/>
      <c r="BO716" s="28"/>
    </row>
    <row r="717">
      <c r="A717" s="1"/>
      <c r="B717" s="1"/>
      <c r="C717" s="1"/>
      <c r="D717" s="1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46"/>
      <c r="BI717" s="29"/>
      <c r="BJ717" s="28"/>
      <c r="BK717" s="28"/>
      <c r="BL717" s="28"/>
      <c r="BM717" s="28"/>
      <c r="BN717" s="28"/>
      <c r="BO717" s="28"/>
    </row>
    <row r="718">
      <c r="A718" s="1"/>
      <c r="B718" s="1"/>
      <c r="C718" s="1"/>
      <c r="D718" s="1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46"/>
      <c r="BI718" s="29"/>
      <c r="BJ718" s="28"/>
      <c r="BK718" s="28"/>
      <c r="BL718" s="28"/>
      <c r="BM718" s="28"/>
      <c r="BN718" s="28"/>
      <c r="BO718" s="28"/>
    </row>
    <row r="719">
      <c r="A719" s="1"/>
      <c r="B719" s="1"/>
      <c r="C719" s="1"/>
      <c r="D719" s="1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46"/>
      <c r="BI719" s="29"/>
      <c r="BJ719" s="28"/>
      <c r="BK719" s="28"/>
      <c r="BL719" s="28"/>
      <c r="BM719" s="28"/>
      <c r="BN719" s="28"/>
      <c r="BO719" s="28"/>
    </row>
    <row r="720">
      <c r="A720" s="1"/>
      <c r="B720" s="1"/>
      <c r="C720" s="1"/>
      <c r="D720" s="1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46"/>
      <c r="BI720" s="29"/>
      <c r="BJ720" s="28"/>
      <c r="BK720" s="28"/>
      <c r="BL720" s="28"/>
      <c r="BM720" s="28"/>
      <c r="BN720" s="28"/>
      <c r="BO720" s="28"/>
    </row>
    <row r="721">
      <c r="A721" s="1"/>
      <c r="B721" s="1"/>
      <c r="C721" s="1"/>
      <c r="D721" s="1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46"/>
      <c r="BI721" s="29"/>
      <c r="BJ721" s="28"/>
      <c r="BK721" s="28"/>
      <c r="BL721" s="28"/>
      <c r="BM721" s="28"/>
      <c r="BN721" s="28"/>
      <c r="BO721" s="28"/>
    </row>
    <row r="722">
      <c r="A722" s="1"/>
      <c r="B722" s="1"/>
      <c r="C722" s="1"/>
      <c r="D722" s="1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46"/>
      <c r="BI722" s="29"/>
      <c r="BJ722" s="28"/>
      <c r="BK722" s="28"/>
      <c r="BL722" s="28"/>
      <c r="BM722" s="28"/>
      <c r="BN722" s="28"/>
      <c r="BO722" s="28"/>
    </row>
    <row r="723">
      <c r="A723" s="1"/>
      <c r="B723" s="1"/>
      <c r="C723" s="1"/>
      <c r="D723" s="1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46"/>
      <c r="BI723" s="29"/>
      <c r="BJ723" s="28"/>
      <c r="BK723" s="28"/>
      <c r="BL723" s="28"/>
      <c r="BM723" s="28"/>
      <c r="BN723" s="28"/>
      <c r="BO723" s="28"/>
    </row>
    <row r="724">
      <c r="A724" s="1"/>
      <c r="B724" s="1"/>
      <c r="C724" s="1"/>
      <c r="D724" s="1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46"/>
      <c r="BI724" s="29"/>
      <c r="BJ724" s="28"/>
      <c r="BK724" s="28"/>
      <c r="BL724" s="28"/>
      <c r="BM724" s="28"/>
      <c r="BN724" s="28"/>
      <c r="BO724" s="28"/>
    </row>
    <row r="725">
      <c r="A725" s="1"/>
      <c r="B725" s="1"/>
      <c r="C725" s="1"/>
      <c r="D725" s="1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46"/>
      <c r="BI725" s="29"/>
      <c r="BJ725" s="28"/>
      <c r="BK725" s="28"/>
      <c r="BL725" s="28"/>
      <c r="BM725" s="28"/>
      <c r="BN725" s="28"/>
      <c r="BO725" s="28"/>
    </row>
    <row r="726">
      <c r="A726" s="1"/>
      <c r="B726" s="1"/>
      <c r="C726" s="1"/>
      <c r="D726" s="1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46"/>
      <c r="BI726" s="29"/>
      <c r="BJ726" s="28"/>
      <c r="BK726" s="28"/>
      <c r="BL726" s="28"/>
      <c r="BM726" s="28"/>
      <c r="BN726" s="28"/>
      <c r="BO726" s="28"/>
    </row>
    <row r="727">
      <c r="A727" s="1"/>
      <c r="B727" s="1"/>
      <c r="C727" s="1"/>
      <c r="D727" s="1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46"/>
      <c r="BI727" s="29"/>
      <c r="BJ727" s="28"/>
      <c r="BK727" s="28"/>
      <c r="BL727" s="28"/>
      <c r="BM727" s="28"/>
      <c r="BN727" s="28"/>
      <c r="BO727" s="28"/>
    </row>
    <row r="728">
      <c r="A728" s="1"/>
      <c r="B728" s="1"/>
      <c r="C728" s="1"/>
      <c r="D728" s="1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46"/>
      <c r="BI728" s="29"/>
      <c r="BJ728" s="28"/>
      <c r="BK728" s="28"/>
      <c r="BL728" s="28"/>
      <c r="BM728" s="28"/>
      <c r="BN728" s="28"/>
      <c r="BO728" s="28"/>
    </row>
    <row r="729">
      <c r="A729" s="1"/>
      <c r="B729" s="1"/>
      <c r="C729" s="1"/>
      <c r="D729" s="1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46"/>
      <c r="BI729" s="29"/>
      <c r="BJ729" s="28"/>
      <c r="BK729" s="28"/>
      <c r="BL729" s="28"/>
      <c r="BM729" s="28"/>
      <c r="BN729" s="28"/>
      <c r="BO729" s="28"/>
    </row>
    <row r="730">
      <c r="A730" s="1"/>
      <c r="B730" s="1"/>
      <c r="C730" s="1"/>
      <c r="D730" s="1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46"/>
      <c r="BI730" s="29"/>
      <c r="BJ730" s="28"/>
      <c r="BK730" s="28"/>
      <c r="BL730" s="28"/>
      <c r="BM730" s="28"/>
      <c r="BN730" s="28"/>
      <c r="BO730" s="28"/>
    </row>
    <row r="731">
      <c r="A731" s="1"/>
      <c r="B731" s="1"/>
      <c r="C731" s="1"/>
      <c r="D731" s="1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46"/>
      <c r="BI731" s="29"/>
      <c r="BJ731" s="28"/>
      <c r="BK731" s="28"/>
      <c r="BL731" s="28"/>
      <c r="BM731" s="28"/>
      <c r="BN731" s="28"/>
      <c r="BO731" s="28"/>
    </row>
    <row r="732">
      <c r="A732" s="1"/>
      <c r="B732" s="1"/>
      <c r="C732" s="1"/>
      <c r="D732" s="1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46"/>
      <c r="BI732" s="29"/>
      <c r="BJ732" s="28"/>
      <c r="BK732" s="28"/>
      <c r="BL732" s="28"/>
      <c r="BM732" s="28"/>
      <c r="BN732" s="28"/>
      <c r="BO732" s="28"/>
    </row>
    <row r="733">
      <c r="A733" s="1"/>
      <c r="B733" s="1"/>
      <c r="C733" s="1"/>
      <c r="D733" s="1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46"/>
      <c r="BI733" s="29"/>
      <c r="BJ733" s="28"/>
      <c r="BK733" s="28"/>
      <c r="BL733" s="28"/>
      <c r="BM733" s="28"/>
      <c r="BN733" s="28"/>
      <c r="BO733" s="28"/>
    </row>
    <row r="734">
      <c r="A734" s="1"/>
      <c r="B734" s="1"/>
      <c r="C734" s="1"/>
      <c r="D734" s="1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46"/>
      <c r="BI734" s="29"/>
      <c r="BJ734" s="28"/>
      <c r="BK734" s="28"/>
      <c r="BL734" s="28"/>
      <c r="BM734" s="28"/>
      <c r="BN734" s="28"/>
      <c r="BO734" s="28"/>
    </row>
    <row r="735">
      <c r="A735" s="1"/>
      <c r="B735" s="1"/>
      <c r="C735" s="1"/>
      <c r="D735" s="1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46"/>
      <c r="BI735" s="29"/>
      <c r="BJ735" s="28"/>
      <c r="BK735" s="28"/>
      <c r="BL735" s="28"/>
      <c r="BM735" s="28"/>
      <c r="BN735" s="28"/>
      <c r="BO735" s="28"/>
    </row>
    <row r="736">
      <c r="A736" s="1"/>
      <c r="B736" s="1"/>
      <c r="C736" s="1"/>
      <c r="D736" s="1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46"/>
      <c r="BI736" s="29"/>
      <c r="BJ736" s="28"/>
      <c r="BK736" s="28"/>
      <c r="BL736" s="28"/>
      <c r="BM736" s="28"/>
      <c r="BN736" s="28"/>
      <c r="BO736" s="28"/>
    </row>
    <row r="737">
      <c r="A737" s="1"/>
      <c r="B737" s="1"/>
      <c r="C737" s="1"/>
      <c r="D737" s="1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46"/>
      <c r="BI737" s="29"/>
      <c r="BJ737" s="28"/>
      <c r="BK737" s="28"/>
      <c r="BL737" s="28"/>
      <c r="BM737" s="28"/>
      <c r="BN737" s="28"/>
      <c r="BO737" s="28"/>
    </row>
    <row r="738">
      <c r="A738" s="1"/>
      <c r="B738" s="1"/>
      <c r="C738" s="1"/>
      <c r="D738" s="1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46"/>
      <c r="BI738" s="29"/>
      <c r="BJ738" s="28"/>
      <c r="BK738" s="28"/>
      <c r="BL738" s="28"/>
      <c r="BM738" s="28"/>
      <c r="BN738" s="28"/>
      <c r="BO738" s="28"/>
    </row>
    <row r="739">
      <c r="A739" s="1"/>
      <c r="B739" s="1"/>
      <c r="C739" s="1"/>
      <c r="D739" s="1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46"/>
      <c r="BI739" s="29"/>
      <c r="BJ739" s="28"/>
      <c r="BK739" s="28"/>
      <c r="BL739" s="28"/>
      <c r="BM739" s="28"/>
      <c r="BN739" s="28"/>
      <c r="BO739" s="28"/>
    </row>
    <row r="740">
      <c r="A740" s="1"/>
      <c r="B740" s="1"/>
      <c r="C740" s="1"/>
      <c r="D740" s="1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46"/>
      <c r="BI740" s="29"/>
      <c r="BJ740" s="28"/>
      <c r="BK740" s="28"/>
      <c r="BL740" s="28"/>
      <c r="BM740" s="28"/>
      <c r="BN740" s="28"/>
      <c r="BO740" s="28"/>
    </row>
    <row r="741">
      <c r="A741" s="1"/>
      <c r="B741" s="1"/>
      <c r="C741" s="1"/>
      <c r="D741" s="1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46"/>
      <c r="BI741" s="29"/>
      <c r="BJ741" s="28"/>
      <c r="BK741" s="28"/>
      <c r="BL741" s="28"/>
      <c r="BM741" s="28"/>
      <c r="BN741" s="28"/>
      <c r="BO741" s="28"/>
    </row>
    <row r="742">
      <c r="A742" s="1"/>
      <c r="B742" s="1"/>
      <c r="C742" s="1"/>
      <c r="D742" s="1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46"/>
      <c r="BI742" s="29"/>
      <c r="BJ742" s="28"/>
      <c r="BK742" s="28"/>
      <c r="BL742" s="28"/>
      <c r="BM742" s="28"/>
      <c r="BN742" s="28"/>
      <c r="BO742" s="28"/>
    </row>
    <row r="743">
      <c r="A743" s="1"/>
      <c r="B743" s="1"/>
      <c r="C743" s="1"/>
      <c r="D743" s="1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46"/>
      <c r="BI743" s="29"/>
      <c r="BJ743" s="28"/>
      <c r="BK743" s="28"/>
      <c r="BL743" s="28"/>
      <c r="BM743" s="28"/>
      <c r="BN743" s="28"/>
      <c r="BO743" s="28"/>
    </row>
    <row r="744">
      <c r="A744" s="1"/>
      <c r="B744" s="1"/>
      <c r="C744" s="1"/>
      <c r="D744" s="1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46"/>
      <c r="BI744" s="29"/>
      <c r="BJ744" s="28"/>
      <c r="BK744" s="28"/>
      <c r="BL744" s="28"/>
      <c r="BM744" s="28"/>
      <c r="BN744" s="28"/>
      <c r="BO744" s="28"/>
    </row>
    <row r="745">
      <c r="A745" s="1"/>
      <c r="B745" s="1"/>
      <c r="C745" s="1"/>
      <c r="D745" s="1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46"/>
      <c r="BI745" s="29"/>
      <c r="BJ745" s="28"/>
      <c r="BK745" s="28"/>
      <c r="BL745" s="28"/>
      <c r="BM745" s="28"/>
      <c r="BN745" s="28"/>
      <c r="BO745" s="28"/>
    </row>
    <row r="746">
      <c r="A746" s="1"/>
      <c r="B746" s="1"/>
      <c r="C746" s="1"/>
      <c r="D746" s="1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46"/>
      <c r="BI746" s="29"/>
      <c r="BJ746" s="28"/>
      <c r="BK746" s="28"/>
      <c r="BL746" s="28"/>
      <c r="BM746" s="28"/>
      <c r="BN746" s="28"/>
      <c r="BO746" s="28"/>
    </row>
    <row r="747">
      <c r="A747" s="1"/>
      <c r="B747" s="1"/>
      <c r="C747" s="1"/>
      <c r="D747" s="1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46"/>
      <c r="BI747" s="29"/>
      <c r="BJ747" s="28"/>
      <c r="BK747" s="28"/>
      <c r="BL747" s="28"/>
      <c r="BM747" s="28"/>
      <c r="BN747" s="28"/>
      <c r="BO747" s="28"/>
    </row>
    <row r="748">
      <c r="A748" s="1"/>
      <c r="B748" s="1"/>
      <c r="C748" s="1"/>
      <c r="D748" s="1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46"/>
      <c r="BI748" s="29"/>
      <c r="BJ748" s="28"/>
      <c r="BK748" s="28"/>
      <c r="BL748" s="28"/>
      <c r="BM748" s="28"/>
      <c r="BN748" s="28"/>
      <c r="BO748" s="28"/>
    </row>
    <row r="749">
      <c r="A749" s="1"/>
      <c r="B749" s="1"/>
      <c r="C749" s="1"/>
      <c r="D749" s="1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46"/>
      <c r="BI749" s="29"/>
      <c r="BJ749" s="28"/>
      <c r="BK749" s="28"/>
      <c r="BL749" s="28"/>
      <c r="BM749" s="28"/>
      <c r="BN749" s="28"/>
      <c r="BO749" s="28"/>
    </row>
    <row r="750">
      <c r="A750" s="1"/>
      <c r="B750" s="1"/>
      <c r="C750" s="1"/>
      <c r="D750" s="1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46"/>
      <c r="BI750" s="29"/>
      <c r="BJ750" s="28"/>
      <c r="BK750" s="28"/>
      <c r="BL750" s="28"/>
      <c r="BM750" s="28"/>
      <c r="BN750" s="28"/>
      <c r="BO750" s="28"/>
    </row>
    <row r="751">
      <c r="A751" s="1"/>
      <c r="B751" s="1"/>
      <c r="C751" s="1"/>
      <c r="D751" s="1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46"/>
      <c r="BI751" s="29"/>
      <c r="BJ751" s="28"/>
      <c r="BK751" s="28"/>
      <c r="BL751" s="28"/>
      <c r="BM751" s="28"/>
      <c r="BN751" s="28"/>
      <c r="BO751" s="28"/>
    </row>
    <row r="752">
      <c r="A752" s="1"/>
      <c r="B752" s="1"/>
      <c r="C752" s="1"/>
      <c r="D752" s="1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46"/>
      <c r="BI752" s="29"/>
      <c r="BJ752" s="28"/>
      <c r="BK752" s="28"/>
      <c r="BL752" s="28"/>
      <c r="BM752" s="28"/>
      <c r="BN752" s="28"/>
      <c r="BO752" s="28"/>
    </row>
    <row r="753">
      <c r="A753" s="1"/>
      <c r="B753" s="1"/>
      <c r="C753" s="1"/>
      <c r="D753" s="1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46"/>
      <c r="BI753" s="29"/>
      <c r="BJ753" s="28"/>
      <c r="BK753" s="28"/>
      <c r="BL753" s="28"/>
      <c r="BM753" s="28"/>
      <c r="BN753" s="28"/>
      <c r="BO753" s="28"/>
    </row>
    <row r="754">
      <c r="A754" s="1"/>
      <c r="B754" s="1"/>
      <c r="C754" s="1"/>
      <c r="D754" s="1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46"/>
      <c r="BI754" s="29"/>
      <c r="BJ754" s="28"/>
      <c r="BK754" s="28"/>
      <c r="BL754" s="28"/>
      <c r="BM754" s="28"/>
      <c r="BN754" s="28"/>
      <c r="BO754" s="28"/>
    </row>
    <row r="755">
      <c r="A755" s="1"/>
      <c r="B755" s="1"/>
      <c r="C755" s="1"/>
      <c r="D755" s="1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46"/>
      <c r="BI755" s="29"/>
      <c r="BJ755" s="28"/>
      <c r="BK755" s="28"/>
      <c r="BL755" s="28"/>
      <c r="BM755" s="28"/>
      <c r="BN755" s="28"/>
      <c r="BO755" s="28"/>
    </row>
    <row r="756">
      <c r="A756" s="1"/>
      <c r="B756" s="1"/>
      <c r="C756" s="1"/>
      <c r="D756" s="1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46"/>
      <c r="BI756" s="29"/>
      <c r="BJ756" s="28"/>
      <c r="BK756" s="28"/>
      <c r="BL756" s="28"/>
      <c r="BM756" s="28"/>
      <c r="BN756" s="28"/>
      <c r="BO756" s="28"/>
    </row>
    <row r="757">
      <c r="A757" s="1"/>
      <c r="B757" s="1"/>
      <c r="C757" s="1"/>
      <c r="D757" s="1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  <c r="BH757" s="46"/>
      <c r="BI757" s="29"/>
      <c r="BJ757" s="28"/>
      <c r="BK757" s="28"/>
      <c r="BL757" s="28"/>
      <c r="BM757" s="28"/>
      <c r="BN757" s="28"/>
      <c r="BO757" s="28"/>
    </row>
    <row r="758">
      <c r="A758" s="1"/>
      <c r="B758" s="1"/>
      <c r="C758" s="1"/>
      <c r="D758" s="1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46"/>
      <c r="BI758" s="29"/>
      <c r="BJ758" s="28"/>
      <c r="BK758" s="28"/>
      <c r="BL758" s="28"/>
      <c r="BM758" s="28"/>
      <c r="BN758" s="28"/>
      <c r="BO758" s="28"/>
    </row>
    <row r="759">
      <c r="A759" s="1"/>
      <c r="B759" s="1"/>
      <c r="C759" s="1"/>
      <c r="D759" s="1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46"/>
      <c r="BI759" s="29"/>
      <c r="BJ759" s="28"/>
      <c r="BK759" s="28"/>
      <c r="BL759" s="28"/>
      <c r="BM759" s="28"/>
      <c r="BN759" s="28"/>
      <c r="BO759" s="28"/>
    </row>
    <row r="760">
      <c r="A760" s="1"/>
      <c r="B760" s="1"/>
      <c r="C760" s="1"/>
      <c r="D760" s="1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  <c r="BH760" s="46"/>
      <c r="BI760" s="29"/>
      <c r="BJ760" s="28"/>
      <c r="BK760" s="28"/>
      <c r="BL760" s="28"/>
      <c r="BM760" s="28"/>
      <c r="BN760" s="28"/>
      <c r="BO760" s="28"/>
    </row>
    <row r="761">
      <c r="A761" s="1"/>
      <c r="B761" s="1"/>
      <c r="C761" s="1"/>
      <c r="D761" s="1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46"/>
      <c r="BI761" s="29"/>
      <c r="BJ761" s="28"/>
      <c r="BK761" s="28"/>
      <c r="BL761" s="28"/>
      <c r="BM761" s="28"/>
      <c r="BN761" s="28"/>
      <c r="BO761" s="28"/>
    </row>
    <row r="762">
      <c r="A762" s="1"/>
      <c r="B762" s="1"/>
      <c r="C762" s="1"/>
      <c r="D762" s="1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46"/>
      <c r="BI762" s="29"/>
      <c r="BJ762" s="28"/>
      <c r="BK762" s="28"/>
      <c r="BL762" s="28"/>
      <c r="BM762" s="28"/>
      <c r="BN762" s="28"/>
      <c r="BO762" s="28"/>
    </row>
    <row r="763">
      <c r="A763" s="1"/>
      <c r="B763" s="1"/>
      <c r="C763" s="1"/>
      <c r="D763" s="1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46"/>
      <c r="BI763" s="29"/>
      <c r="BJ763" s="28"/>
      <c r="BK763" s="28"/>
      <c r="BL763" s="28"/>
      <c r="BM763" s="28"/>
      <c r="BN763" s="28"/>
      <c r="BO763" s="28"/>
    </row>
    <row r="764">
      <c r="A764" s="1"/>
      <c r="B764" s="1"/>
      <c r="C764" s="1"/>
      <c r="D764" s="1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46"/>
      <c r="BI764" s="29"/>
      <c r="BJ764" s="28"/>
      <c r="BK764" s="28"/>
      <c r="BL764" s="28"/>
      <c r="BM764" s="28"/>
      <c r="BN764" s="28"/>
      <c r="BO764" s="28"/>
    </row>
    <row r="765">
      <c r="A765" s="1"/>
      <c r="B765" s="1"/>
      <c r="C765" s="1"/>
      <c r="D765" s="1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  <c r="BH765" s="46"/>
      <c r="BI765" s="29"/>
      <c r="BJ765" s="28"/>
      <c r="BK765" s="28"/>
      <c r="BL765" s="28"/>
      <c r="BM765" s="28"/>
      <c r="BN765" s="28"/>
      <c r="BO765" s="28"/>
    </row>
    <row r="766">
      <c r="A766" s="1"/>
      <c r="B766" s="1"/>
      <c r="C766" s="1"/>
      <c r="D766" s="1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  <c r="BH766" s="46"/>
      <c r="BI766" s="29"/>
      <c r="BJ766" s="28"/>
      <c r="BK766" s="28"/>
      <c r="BL766" s="28"/>
      <c r="BM766" s="28"/>
      <c r="BN766" s="28"/>
      <c r="BO766" s="28"/>
    </row>
    <row r="767">
      <c r="A767" s="1"/>
      <c r="B767" s="1"/>
      <c r="C767" s="1"/>
      <c r="D767" s="1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46"/>
      <c r="BI767" s="29"/>
      <c r="BJ767" s="28"/>
      <c r="BK767" s="28"/>
      <c r="BL767" s="28"/>
      <c r="BM767" s="28"/>
      <c r="BN767" s="28"/>
      <c r="BO767" s="28"/>
    </row>
    <row r="768">
      <c r="A768" s="1"/>
      <c r="B768" s="1"/>
      <c r="C768" s="1"/>
      <c r="D768" s="1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46"/>
      <c r="BI768" s="29"/>
      <c r="BJ768" s="28"/>
      <c r="BK768" s="28"/>
      <c r="BL768" s="28"/>
      <c r="BM768" s="28"/>
      <c r="BN768" s="28"/>
      <c r="BO768" s="28"/>
    </row>
    <row r="769">
      <c r="A769" s="1"/>
      <c r="B769" s="1"/>
      <c r="C769" s="1"/>
      <c r="D769" s="1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46"/>
      <c r="BI769" s="29"/>
      <c r="BJ769" s="28"/>
      <c r="BK769" s="28"/>
      <c r="BL769" s="28"/>
      <c r="BM769" s="28"/>
      <c r="BN769" s="28"/>
      <c r="BO769" s="28"/>
    </row>
    <row r="770">
      <c r="A770" s="1"/>
      <c r="B770" s="1"/>
      <c r="C770" s="1"/>
      <c r="D770" s="1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  <c r="BH770" s="46"/>
      <c r="BI770" s="29"/>
      <c r="BJ770" s="28"/>
      <c r="BK770" s="28"/>
      <c r="BL770" s="28"/>
      <c r="BM770" s="28"/>
      <c r="BN770" s="28"/>
      <c r="BO770" s="28"/>
    </row>
    <row r="771">
      <c r="A771" s="1"/>
      <c r="B771" s="1"/>
      <c r="C771" s="1"/>
      <c r="D771" s="1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  <c r="BH771" s="46"/>
      <c r="BI771" s="29"/>
      <c r="BJ771" s="28"/>
      <c r="BK771" s="28"/>
      <c r="BL771" s="28"/>
      <c r="BM771" s="28"/>
      <c r="BN771" s="28"/>
      <c r="BO771" s="28"/>
    </row>
    <row r="772">
      <c r="A772" s="1"/>
      <c r="B772" s="1"/>
      <c r="C772" s="1"/>
      <c r="D772" s="1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  <c r="BH772" s="46"/>
      <c r="BI772" s="29"/>
      <c r="BJ772" s="28"/>
      <c r="BK772" s="28"/>
      <c r="BL772" s="28"/>
      <c r="BM772" s="28"/>
      <c r="BN772" s="28"/>
      <c r="BO772" s="28"/>
    </row>
    <row r="773">
      <c r="A773" s="1"/>
      <c r="B773" s="1"/>
      <c r="C773" s="1"/>
      <c r="D773" s="1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46"/>
      <c r="BI773" s="29"/>
      <c r="BJ773" s="28"/>
      <c r="BK773" s="28"/>
      <c r="BL773" s="28"/>
      <c r="BM773" s="28"/>
      <c r="BN773" s="28"/>
      <c r="BO773" s="28"/>
    </row>
    <row r="774">
      <c r="A774" s="1"/>
      <c r="B774" s="1"/>
      <c r="C774" s="1"/>
      <c r="D774" s="1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46"/>
      <c r="BI774" s="29"/>
      <c r="BJ774" s="28"/>
      <c r="BK774" s="28"/>
      <c r="BL774" s="28"/>
      <c r="BM774" s="28"/>
      <c r="BN774" s="28"/>
      <c r="BO774" s="28"/>
    </row>
    <row r="775">
      <c r="A775" s="1"/>
      <c r="B775" s="1"/>
      <c r="C775" s="1"/>
      <c r="D775" s="1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46"/>
      <c r="BI775" s="29"/>
      <c r="BJ775" s="28"/>
      <c r="BK775" s="28"/>
      <c r="BL775" s="28"/>
      <c r="BM775" s="28"/>
      <c r="BN775" s="28"/>
      <c r="BO775" s="28"/>
    </row>
    <row r="776">
      <c r="A776" s="1"/>
      <c r="B776" s="1"/>
      <c r="C776" s="1"/>
      <c r="D776" s="1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46"/>
      <c r="BI776" s="29"/>
      <c r="BJ776" s="28"/>
      <c r="BK776" s="28"/>
      <c r="BL776" s="28"/>
      <c r="BM776" s="28"/>
      <c r="BN776" s="28"/>
      <c r="BO776" s="28"/>
    </row>
    <row r="777">
      <c r="A777" s="1"/>
      <c r="B777" s="1"/>
      <c r="C777" s="1"/>
      <c r="D777" s="1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  <c r="BH777" s="46"/>
      <c r="BI777" s="29"/>
      <c r="BJ777" s="28"/>
      <c r="BK777" s="28"/>
      <c r="BL777" s="28"/>
      <c r="BM777" s="28"/>
      <c r="BN777" s="28"/>
      <c r="BO777" s="28"/>
    </row>
    <row r="778">
      <c r="A778" s="1"/>
      <c r="B778" s="1"/>
      <c r="C778" s="1"/>
      <c r="D778" s="1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  <c r="BH778" s="46"/>
      <c r="BI778" s="29"/>
      <c r="BJ778" s="28"/>
      <c r="BK778" s="28"/>
      <c r="BL778" s="28"/>
      <c r="BM778" s="28"/>
      <c r="BN778" s="28"/>
      <c r="BO778" s="28"/>
    </row>
    <row r="779">
      <c r="A779" s="1"/>
      <c r="B779" s="1"/>
      <c r="C779" s="1"/>
      <c r="D779" s="1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  <c r="BH779" s="46"/>
      <c r="BI779" s="29"/>
      <c r="BJ779" s="28"/>
      <c r="BK779" s="28"/>
      <c r="BL779" s="28"/>
      <c r="BM779" s="28"/>
      <c r="BN779" s="28"/>
      <c r="BO779" s="28"/>
    </row>
    <row r="780">
      <c r="A780" s="1"/>
      <c r="B780" s="1"/>
      <c r="C780" s="1"/>
      <c r="D780" s="1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  <c r="BH780" s="46"/>
      <c r="BI780" s="29"/>
      <c r="BJ780" s="28"/>
      <c r="BK780" s="28"/>
      <c r="BL780" s="28"/>
      <c r="BM780" s="28"/>
      <c r="BN780" s="28"/>
      <c r="BO780" s="28"/>
    </row>
    <row r="781">
      <c r="A781" s="1"/>
      <c r="B781" s="1"/>
      <c r="C781" s="1"/>
      <c r="D781" s="1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46"/>
      <c r="BI781" s="29"/>
      <c r="BJ781" s="28"/>
      <c r="BK781" s="28"/>
      <c r="BL781" s="28"/>
      <c r="BM781" s="28"/>
      <c r="BN781" s="28"/>
      <c r="BO781" s="28"/>
    </row>
    <row r="782">
      <c r="A782" s="1"/>
      <c r="B782" s="1"/>
      <c r="C782" s="1"/>
      <c r="D782" s="1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46"/>
      <c r="BI782" s="29"/>
      <c r="BJ782" s="28"/>
      <c r="BK782" s="28"/>
      <c r="BL782" s="28"/>
      <c r="BM782" s="28"/>
      <c r="BN782" s="28"/>
      <c r="BO782" s="28"/>
    </row>
    <row r="783">
      <c r="A783" s="1"/>
      <c r="B783" s="1"/>
      <c r="C783" s="1"/>
      <c r="D783" s="1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  <c r="BF783" s="28"/>
      <c r="BG783" s="28"/>
      <c r="BH783" s="46"/>
      <c r="BI783" s="29"/>
      <c r="BJ783" s="28"/>
      <c r="BK783" s="28"/>
      <c r="BL783" s="28"/>
      <c r="BM783" s="28"/>
      <c r="BN783" s="28"/>
      <c r="BO783" s="28"/>
    </row>
    <row r="784">
      <c r="A784" s="1"/>
      <c r="B784" s="1"/>
      <c r="C784" s="1"/>
      <c r="D784" s="1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  <c r="BF784" s="28"/>
      <c r="BG784" s="28"/>
      <c r="BH784" s="46"/>
      <c r="BI784" s="29"/>
      <c r="BJ784" s="28"/>
      <c r="BK784" s="28"/>
      <c r="BL784" s="28"/>
      <c r="BM784" s="28"/>
      <c r="BN784" s="28"/>
      <c r="BO784" s="28"/>
    </row>
    <row r="785">
      <c r="A785" s="1"/>
      <c r="B785" s="1"/>
      <c r="C785" s="1"/>
      <c r="D785" s="1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  <c r="BF785" s="28"/>
      <c r="BG785" s="28"/>
      <c r="BH785" s="46"/>
      <c r="BI785" s="29"/>
      <c r="BJ785" s="28"/>
      <c r="BK785" s="28"/>
      <c r="BL785" s="28"/>
      <c r="BM785" s="28"/>
      <c r="BN785" s="28"/>
      <c r="BO785" s="28"/>
    </row>
    <row r="786">
      <c r="A786" s="1"/>
      <c r="B786" s="1"/>
      <c r="C786" s="1"/>
      <c r="D786" s="1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  <c r="BF786" s="28"/>
      <c r="BG786" s="28"/>
      <c r="BH786" s="46"/>
      <c r="BI786" s="29"/>
      <c r="BJ786" s="28"/>
      <c r="BK786" s="28"/>
      <c r="BL786" s="28"/>
      <c r="BM786" s="28"/>
      <c r="BN786" s="28"/>
      <c r="BO786" s="28"/>
    </row>
    <row r="787">
      <c r="A787" s="1"/>
      <c r="B787" s="1"/>
      <c r="C787" s="1"/>
      <c r="D787" s="1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  <c r="BF787" s="28"/>
      <c r="BG787" s="28"/>
      <c r="BH787" s="46"/>
      <c r="BI787" s="29"/>
      <c r="BJ787" s="28"/>
      <c r="BK787" s="28"/>
      <c r="BL787" s="28"/>
      <c r="BM787" s="28"/>
      <c r="BN787" s="28"/>
      <c r="BO787" s="28"/>
    </row>
    <row r="788">
      <c r="A788" s="1"/>
      <c r="B788" s="1"/>
      <c r="C788" s="1"/>
      <c r="D788" s="1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  <c r="BF788" s="28"/>
      <c r="BG788" s="28"/>
      <c r="BH788" s="46"/>
      <c r="BI788" s="29"/>
      <c r="BJ788" s="28"/>
      <c r="BK788" s="28"/>
      <c r="BL788" s="28"/>
      <c r="BM788" s="28"/>
      <c r="BN788" s="28"/>
      <c r="BO788" s="28"/>
    </row>
    <row r="789">
      <c r="A789" s="1"/>
      <c r="B789" s="1"/>
      <c r="C789" s="1"/>
      <c r="D789" s="1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  <c r="BF789" s="28"/>
      <c r="BG789" s="28"/>
      <c r="BH789" s="46"/>
      <c r="BI789" s="29"/>
      <c r="BJ789" s="28"/>
      <c r="BK789" s="28"/>
      <c r="BL789" s="28"/>
      <c r="BM789" s="28"/>
      <c r="BN789" s="28"/>
      <c r="BO789" s="28"/>
    </row>
    <row r="790">
      <c r="A790" s="1"/>
      <c r="B790" s="1"/>
      <c r="C790" s="1"/>
      <c r="D790" s="1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  <c r="BF790" s="28"/>
      <c r="BG790" s="28"/>
      <c r="BH790" s="46"/>
      <c r="BI790" s="29"/>
      <c r="BJ790" s="28"/>
      <c r="BK790" s="28"/>
      <c r="BL790" s="28"/>
      <c r="BM790" s="28"/>
      <c r="BN790" s="28"/>
      <c r="BO790" s="28"/>
    </row>
    <row r="791">
      <c r="A791" s="1"/>
      <c r="B791" s="1"/>
      <c r="C791" s="1"/>
      <c r="D791" s="1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  <c r="BF791" s="28"/>
      <c r="BG791" s="28"/>
      <c r="BH791" s="46"/>
      <c r="BI791" s="29"/>
      <c r="BJ791" s="28"/>
      <c r="BK791" s="28"/>
      <c r="BL791" s="28"/>
      <c r="BM791" s="28"/>
      <c r="BN791" s="28"/>
      <c r="BO791" s="28"/>
    </row>
    <row r="792">
      <c r="A792" s="1"/>
      <c r="B792" s="1"/>
      <c r="C792" s="1"/>
      <c r="D792" s="1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  <c r="BF792" s="28"/>
      <c r="BG792" s="28"/>
      <c r="BH792" s="46"/>
      <c r="BI792" s="29"/>
      <c r="BJ792" s="28"/>
      <c r="BK792" s="28"/>
      <c r="BL792" s="28"/>
      <c r="BM792" s="28"/>
      <c r="BN792" s="28"/>
      <c r="BO792" s="28"/>
    </row>
    <row r="793">
      <c r="A793" s="1"/>
      <c r="B793" s="1"/>
      <c r="C793" s="1"/>
      <c r="D793" s="1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  <c r="BF793" s="28"/>
      <c r="BG793" s="28"/>
      <c r="BH793" s="46"/>
      <c r="BI793" s="29"/>
      <c r="BJ793" s="28"/>
      <c r="BK793" s="28"/>
      <c r="BL793" s="28"/>
      <c r="BM793" s="28"/>
      <c r="BN793" s="28"/>
      <c r="BO793" s="28"/>
    </row>
    <row r="794">
      <c r="A794" s="1"/>
      <c r="B794" s="1"/>
      <c r="C794" s="1"/>
      <c r="D794" s="1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  <c r="BF794" s="28"/>
      <c r="BG794" s="28"/>
      <c r="BH794" s="46"/>
      <c r="BI794" s="29"/>
      <c r="BJ794" s="28"/>
      <c r="BK794" s="28"/>
      <c r="BL794" s="28"/>
      <c r="BM794" s="28"/>
      <c r="BN794" s="28"/>
      <c r="BO794" s="28"/>
    </row>
    <row r="795">
      <c r="A795" s="1"/>
      <c r="B795" s="1"/>
      <c r="C795" s="1"/>
      <c r="D795" s="1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  <c r="BF795" s="28"/>
      <c r="BG795" s="28"/>
      <c r="BH795" s="46"/>
      <c r="BI795" s="29"/>
      <c r="BJ795" s="28"/>
      <c r="BK795" s="28"/>
      <c r="BL795" s="28"/>
      <c r="BM795" s="28"/>
      <c r="BN795" s="28"/>
      <c r="BO795" s="28"/>
    </row>
    <row r="796">
      <c r="A796" s="1"/>
      <c r="B796" s="1"/>
      <c r="C796" s="1"/>
      <c r="D796" s="1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  <c r="BF796" s="28"/>
      <c r="BG796" s="28"/>
      <c r="BH796" s="46"/>
      <c r="BI796" s="29"/>
      <c r="BJ796" s="28"/>
      <c r="BK796" s="28"/>
      <c r="BL796" s="28"/>
      <c r="BM796" s="28"/>
      <c r="BN796" s="28"/>
      <c r="BO796" s="28"/>
    </row>
    <row r="797">
      <c r="A797" s="1"/>
      <c r="B797" s="1"/>
      <c r="C797" s="1"/>
      <c r="D797" s="1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  <c r="BF797" s="28"/>
      <c r="BG797" s="28"/>
      <c r="BH797" s="46"/>
      <c r="BI797" s="29"/>
      <c r="BJ797" s="28"/>
      <c r="BK797" s="28"/>
      <c r="BL797" s="28"/>
      <c r="BM797" s="28"/>
      <c r="BN797" s="28"/>
      <c r="BO797" s="28"/>
    </row>
    <row r="798">
      <c r="A798" s="1"/>
      <c r="B798" s="1"/>
      <c r="C798" s="1"/>
      <c r="D798" s="1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  <c r="BF798" s="28"/>
      <c r="BG798" s="28"/>
      <c r="BH798" s="46"/>
      <c r="BI798" s="29"/>
      <c r="BJ798" s="28"/>
      <c r="BK798" s="28"/>
      <c r="BL798" s="28"/>
      <c r="BM798" s="28"/>
      <c r="BN798" s="28"/>
      <c r="BO798" s="28"/>
    </row>
    <row r="799">
      <c r="A799" s="1"/>
      <c r="B799" s="1"/>
      <c r="C799" s="1"/>
      <c r="D799" s="1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  <c r="BF799" s="28"/>
      <c r="BG799" s="28"/>
      <c r="BH799" s="46"/>
      <c r="BI799" s="29"/>
      <c r="BJ799" s="28"/>
      <c r="BK799" s="28"/>
      <c r="BL799" s="28"/>
      <c r="BM799" s="28"/>
      <c r="BN799" s="28"/>
      <c r="BO799" s="28"/>
    </row>
    <row r="800">
      <c r="A800" s="1"/>
      <c r="B800" s="1"/>
      <c r="C800" s="1"/>
      <c r="D800" s="1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  <c r="BF800" s="28"/>
      <c r="BG800" s="28"/>
      <c r="BH800" s="46"/>
      <c r="BI800" s="29"/>
      <c r="BJ800" s="28"/>
      <c r="BK800" s="28"/>
      <c r="BL800" s="28"/>
      <c r="BM800" s="28"/>
      <c r="BN800" s="28"/>
      <c r="BO800" s="28"/>
    </row>
    <row r="801">
      <c r="A801" s="1"/>
      <c r="B801" s="1"/>
      <c r="C801" s="1"/>
      <c r="D801" s="1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  <c r="BF801" s="28"/>
      <c r="BG801" s="28"/>
      <c r="BH801" s="46"/>
      <c r="BI801" s="29"/>
      <c r="BJ801" s="28"/>
      <c r="BK801" s="28"/>
      <c r="BL801" s="28"/>
      <c r="BM801" s="28"/>
      <c r="BN801" s="28"/>
      <c r="BO801" s="28"/>
    </row>
    <row r="802">
      <c r="A802" s="1"/>
      <c r="B802" s="1"/>
      <c r="C802" s="1"/>
      <c r="D802" s="1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  <c r="BF802" s="28"/>
      <c r="BG802" s="28"/>
      <c r="BH802" s="46"/>
      <c r="BI802" s="29"/>
      <c r="BJ802" s="28"/>
      <c r="BK802" s="28"/>
      <c r="BL802" s="28"/>
      <c r="BM802" s="28"/>
      <c r="BN802" s="28"/>
      <c r="BO802" s="28"/>
    </row>
    <row r="803">
      <c r="A803" s="1"/>
      <c r="B803" s="1"/>
      <c r="C803" s="1"/>
      <c r="D803" s="1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  <c r="BF803" s="28"/>
      <c r="BG803" s="28"/>
      <c r="BH803" s="46"/>
      <c r="BI803" s="29"/>
      <c r="BJ803" s="28"/>
      <c r="BK803" s="28"/>
      <c r="BL803" s="28"/>
      <c r="BM803" s="28"/>
      <c r="BN803" s="28"/>
      <c r="BO803" s="28"/>
    </row>
    <row r="804">
      <c r="A804" s="1"/>
      <c r="B804" s="1"/>
      <c r="C804" s="1"/>
      <c r="D804" s="1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  <c r="BH804" s="46"/>
      <c r="BI804" s="29"/>
      <c r="BJ804" s="28"/>
      <c r="BK804" s="28"/>
      <c r="BL804" s="28"/>
      <c r="BM804" s="28"/>
      <c r="BN804" s="28"/>
      <c r="BO804" s="28"/>
    </row>
    <row r="805">
      <c r="A805" s="1"/>
      <c r="B805" s="1"/>
      <c r="C805" s="1"/>
      <c r="D805" s="1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  <c r="BF805" s="28"/>
      <c r="BG805" s="28"/>
      <c r="BH805" s="46"/>
      <c r="BI805" s="29"/>
      <c r="BJ805" s="28"/>
      <c r="BK805" s="28"/>
      <c r="BL805" s="28"/>
      <c r="BM805" s="28"/>
      <c r="BN805" s="28"/>
      <c r="BO805" s="28"/>
    </row>
    <row r="806">
      <c r="A806" s="1"/>
      <c r="B806" s="1"/>
      <c r="C806" s="1"/>
      <c r="D806" s="1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  <c r="BF806" s="28"/>
      <c r="BG806" s="28"/>
      <c r="BH806" s="46"/>
      <c r="BI806" s="29"/>
      <c r="BJ806" s="28"/>
      <c r="BK806" s="28"/>
      <c r="BL806" s="28"/>
      <c r="BM806" s="28"/>
      <c r="BN806" s="28"/>
      <c r="BO806" s="28"/>
    </row>
    <row r="807">
      <c r="A807" s="1"/>
      <c r="B807" s="1"/>
      <c r="C807" s="1"/>
      <c r="D807" s="1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  <c r="BF807" s="28"/>
      <c r="BG807" s="28"/>
      <c r="BH807" s="46"/>
      <c r="BI807" s="29"/>
      <c r="BJ807" s="28"/>
      <c r="BK807" s="28"/>
      <c r="BL807" s="28"/>
      <c r="BM807" s="28"/>
      <c r="BN807" s="28"/>
      <c r="BO807" s="28"/>
    </row>
    <row r="808">
      <c r="A808" s="1"/>
      <c r="B808" s="1"/>
      <c r="C808" s="1"/>
      <c r="D808" s="1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  <c r="BH808" s="46"/>
      <c r="BI808" s="29"/>
      <c r="BJ808" s="28"/>
      <c r="BK808" s="28"/>
      <c r="BL808" s="28"/>
      <c r="BM808" s="28"/>
      <c r="BN808" s="28"/>
      <c r="BO808" s="28"/>
    </row>
    <row r="809">
      <c r="A809" s="1"/>
      <c r="B809" s="1"/>
      <c r="C809" s="1"/>
      <c r="D809" s="1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  <c r="BH809" s="46"/>
      <c r="BI809" s="29"/>
      <c r="BJ809" s="28"/>
      <c r="BK809" s="28"/>
      <c r="BL809" s="28"/>
      <c r="BM809" s="28"/>
      <c r="BN809" s="28"/>
      <c r="BO809" s="28"/>
    </row>
    <row r="810">
      <c r="A810" s="1"/>
      <c r="B810" s="1"/>
      <c r="C810" s="1"/>
      <c r="D810" s="1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  <c r="BH810" s="46"/>
      <c r="BI810" s="29"/>
      <c r="BJ810" s="28"/>
      <c r="BK810" s="28"/>
      <c r="BL810" s="28"/>
      <c r="BM810" s="28"/>
      <c r="BN810" s="28"/>
      <c r="BO810" s="28"/>
    </row>
    <row r="811">
      <c r="A811" s="1"/>
      <c r="B811" s="1"/>
      <c r="C811" s="1"/>
      <c r="D811" s="1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  <c r="BH811" s="46"/>
      <c r="BI811" s="29"/>
      <c r="BJ811" s="28"/>
      <c r="BK811" s="28"/>
      <c r="BL811" s="28"/>
      <c r="BM811" s="28"/>
      <c r="BN811" s="28"/>
      <c r="BO811" s="28"/>
    </row>
    <row r="812">
      <c r="A812" s="1"/>
      <c r="B812" s="1"/>
      <c r="C812" s="1"/>
      <c r="D812" s="1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  <c r="BF812" s="28"/>
      <c r="BG812" s="28"/>
      <c r="BH812" s="46"/>
      <c r="BI812" s="29"/>
      <c r="BJ812" s="28"/>
      <c r="BK812" s="28"/>
      <c r="BL812" s="28"/>
      <c r="BM812" s="28"/>
      <c r="BN812" s="28"/>
      <c r="BO812" s="28"/>
    </row>
    <row r="813">
      <c r="A813" s="1"/>
      <c r="B813" s="1"/>
      <c r="C813" s="1"/>
      <c r="D813" s="1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  <c r="BF813" s="28"/>
      <c r="BG813" s="28"/>
      <c r="BH813" s="46"/>
      <c r="BI813" s="29"/>
      <c r="BJ813" s="28"/>
      <c r="BK813" s="28"/>
      <c r="BL813" s="28"/>
      <c r="BM813" s="28"/>
      <c r="BN813" s="28"/>
      <c r="BO813" s="28"/>
    </row>
    <row r="814">
      <c r="A814" s="1"/>
      <c r="B814" s="1"/>
      <c r="C814" s="1"/>
      <c r="D814" s="1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  <c r="BF814" s="28"/>
      <c r="BG814" s="28"/>
      <c r="BH814" s="46"/>
      <c r="BI814" s="29"/>
      <c r="BJ814" s="28"/>
      <c r="BK814" s="28"/>
      <c r="BL814" s="28"/>
      <c r="BM814" s="28"/>
      <c r="BN814" s="28"/>
      <c r="BO814" s="28"/>
    </row>
    <row r="815">
      <c r="A815" s="1"/>
      <c r="B815" s="1"/>
      <c r="C815" s="1"/>
      <c r="D815" s="1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  <c r="BH815" s="46"/>
      <c r="BI815" s="29"/>
      <c r="BJ815" s="28"/>
      <c r="BK815" s="28"/>
      <c r="BL815" s="28"/>
      <c r="BM815" s="28"/>
      <c r="BN815" s="28"/>
      <c r="BO815" s="28"/>
    </row>
    <row r="816">
      <c r="A816" s="1"/>
      <c r="B816" s="1"/>
      <c r="C816" s="1"/>
      <c r="D816" s="1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  <c r="BF816" s="28"/>
      <c r="BG816" s="28"/>
      <c r="BH816" s="46"/>
      <c r="BI816" s="29"/>
      <c r="BJ816" s="28"/>
      <c r="BK816" s="28"/>
      <c r="BL816" s="28"/>
      <c r="BM816" s="28"/>
      <c r="BN816" s="28"/>
      <c r="BO816" s="28"/>
    </row>
    <row r="817">
      <c r="A817" s="1"/>
      <c r="B817" s="1"/>
      <c r="C817" s="1"/>
      <c r="D817" s="1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  <c r="BF817" s="28"/>
      <c r="BG817" s="28"/>
      <c r="BH817" s="46"/>
      <c r="BI817" s="29"/>
      <c r="BJ817" s="28"/>
      <c r="BK817" s="28"/>
      <c r="BL817" s="28"/>
      <c r="BM817" s="28"/>
      <c r="BN817" s="28"/>
      <c r="BO817" s="28"/>
    </row>
    <row r="818">
      <c r="A818" s="1"/>
      <c r="B818" s="1"/>
      <c r="C818" s="1"/>
      <c r="D818" s="1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  <c r="BF818" s="28"/>
      <c r="BG818" s="28"/>
      <c r="BH818" s="46"/>
      <c r="BI818" s="29"/>
      <c r="BJ818" s="28"/>
      <c r="BK818" s="28"/>
      <c r="BL818" s="28"/>
      <c r="BM818" s="28"/>
      <c r="BN818" s="28"/>
      <c r="BO818" s="28"/>
    </row>
    <row r="819">
      <c r="A819" s="1"/>
      <c r="B819" s="1"/>
      <c r="C819" s="1"/>
      <c r="D819" s="1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  <c r="BF819" s="28"/>
      <c r="BG819" s="28"/>
      <c r="BH819" s="46"/>
      <c r="BI819" s="29"/>
      <c r="BJ819" s="28"/>
      <c r="BK819" s="28"/>
      <c r="BL819" s="28"/>
      <c r="BM819" s="28"/>
      <c r="BN819" s="28"/>
      <c r="BO819" s="28"/>
    </row>
    <row r="820">
      <c r="A820" s="1"/>
      <c r="B820" s="1"/>
      <c r="C820" s="1"/>
      <c r="D820" s="1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  <c r="BH820" s="46"/>
      <c r="BI820" s="29"/>
      <c r="BJ820" s="28"/>
      <c r="BK820" s="28"/>
      <c r="BL820" s="28"/>
      <c r="BM820" s="28"/>
      <c r="BN820" s="28"/>
      <c r="BO820" s="28"/>
    </row>
    <row r="821">
      <c r="A821" s="1"/>
      <c r="B821" s="1"/>
      <c r="C821" s="1"/>
      <c r="D821" s="1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  <c r="BH821" s="46"/>
      <c r="BI821" s="29"/>
      <c r="BJ821" s="28"/>
      <c r="BK821" s="28"/>
      <c r="BL821" s="28"/>
      <c r="BM821" s="28"/>
      <c r="BN821" s="28"/>
      <c r="BO821" s="28"/>
    </row>
    <row r="822">
      <c r="A822" s="1"/>
      <c r="B822" s="1"/>
      <c r="C822" s="1"/>
      <c r="D822" s="1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46"/>
      <c r="BI822" s="29"/>
      <c r="BJ822" s="28"/>
      <c r="BK822" s="28"/>
      <c r="BL822" s="28"/>
      <c r="BM822" s="28"/>
      <c r="BN822" s="28"/>
      <c r="BO822" s="28"/>
    </row>
    <row r="823">
      <c r="A823" s="1"/>
      <c r="B823" s="1"/>
      <c r="C823" s="1"/>
      <c r="D823" s="1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  <c r="BH823" s="46"/>
      <c r="BI823" s="29"/>
      <c r="BJ823" s="28"/>
      <c r="BK823" s="28"/>
      <c r="BL823" s="28"/>
      <c r="BM823" s="28"/>
      <c r="BN823" s="28"/>
      <c r="BO823" s="28"/>
    </row>
    <row r="824">
      <c r="A824" s="1"/>
      <c r="B824" s="1"/>
      <c r="C824" s="1"/>
      <c r="D824" s="1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  <c r="BF824" s="28"/>
      <c r="BG824" s="28"/>
      <c r="BH824" s="46"/>
      <c r="BI824" s="29"/>
      <c r="BJ824" s="28"/>
      <c r="BK824" s="28"/>
      <c r="BL824" s="28"/>
      <c r="BM824" s="28"/>
      <c r="BN824" s="28"/>
      <c r="BO824" s="28"/>
    </row>
    <row r="825">
      <c r="A825" s="1"/>
      <c r="B825" s="1"/>
      <c r="C825" s="1"/>
      <c r="D825" s="1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  <c r="BF825" s="28"/>
      <c r="BG825" s="28"/>
      <c r="BH825" s="46"/>
      <c r="BI825" s="29"/>
      <c r="BJ825" s="28"/>
      <c r="BK825" s="28"/>
      <c r="BL825" s="28"/>
      <c r="BM825" s="28"/>
      <c r="BN825" s="28"/>
      <c r="BO825" s="28"/>
    </row>
    <row r="826">
      <c r="A826" s="1"/>
      <c r="B826" s="1"/>
      <c r="C826" s="1"/>
      <c r="D826" s="1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  <c r="BF826" s="28"/>
      <c r="BG826" s="28"/>
      <c r="BH826" s="46"/>
      <c r="BI826" s="29"/>
      <c r="BJ826" s="28"/>
      <c r="BK826" s="28"/>
      <c r="BL826" s="28"/>
      <c r="BM826" s="28"/>
      <c r="BN826" s="28"/>
      <c r="BO826" s="28"/>
    </row>
    <row r="827">
      <c r="A827" s="1"/>
      <c r="B827" s="1"/>
      <c r="C827" s="1"/>
      <c r="D827" s="1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  <c r="BH827" s="46"/>
      <c r="BI827" s="29"/>
      <c r="BJ827" s="28"/>
      <c r="BK827" s="28"/>
      <c r="BL827" s="28"/>
      <c r="BM827" s="28"/>
      <c r="BN827" s="28"/>
      <c r="BO827" s="28"/>
    </row>
    <row r="828">
      <c r="A828" s="1"/>
      <c r="B828" s="1"/>
      <c r="C828" s="1"/>
      <c r="D828" s="1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  <c r="BH828" s="46"/>
      <c r="BI828" s="29"/>
      <c r="BJ828" s="28"/>
      <c r="BK828" s="28"/>
      <c r="BL828" s="28"/>
      <c r="BM828" s="28"/>
      <c r="BN828" s="28"/>
      <c r="BO828" s="28"/>
    </row>
    <row r="829">
      <c r="A829" s="1"/>
      <c r="B829" s="1"/>
      <c r="C829" s="1"/>
      <c r="D829" s="1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  <c r="BH829" s="46"/>
      <c r="BI829" s="29"/>
      <c r="BJ829" s="28"/>
      <c r="BK829" s="28"/>
      <c r="BL829" s="28"/>
      <c r="BM829" s="28"/>
      <c r="BN829" s="28"/>
      <c r="BO829" s="28"/>
    </row>
    <row r="830">
      <c r="A830" s="1"/>
      <c r="B830" s="1"/>
      <c r="C830" s="1"/>
      <c r="D830" s="1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  <c r="BH830" s="46"/>
      <c r="BI830" s="29"/>
      <c r="BJ830" s="28"/>
      <c r="BK830" s="28"/>
      <c r="BL830" s="28"/>
      <c r="BM830" s="28"/>
      <c r="BN830" s="28"/>
      <c r="BO830" s="28"/>
    </row>
    <row r="831">
      <c r="A831" s="1"/>
      <c r="B831" s="1"/>
      <c r="C831" s="1"/>
      <c r="D831" s="1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  <c r="BH831" s="46"/>
      <c r="BI831" s="29"/>
      <c r="BJ831" s="28"/>
      <c r="BK831" s="28"/>
      <c r="BL831" s="28"/>
      <c r="BM831" s="28"/>
      <c r="BN831" s="28"/>
      <c r="BO831" s="28"/>
    </row>
    <row r="832">
      <c r="A832" s="1"/>
      <c r="B832" s="1"/>
      <c r="C832" s="1"/>
      <c r="D832" s="1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  <c r="BH832" s="46"/>
      <c r="BI832" s="29"/>
      <c r="BJ832" s="28"/>
      <c r="BK832" s="28"/>
      <c r="BL832" s="28"/>
      <c r="BM832" s="28"/>
      <c r="BN832" s="28"/>
      <c r="BO832" s="28"/>
    </row>
    <row r="833">
      <c r="A833" s="1"/>
      <c r="B833" s="1"/>
      <c r="C833" s="1"/>
      <c r="D833" s="1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  <c r="BH833" s="46"/>
      <c r="BI833" s="29"/>
      <c r="BJ833" s="28"/>
      <c r="BK833" s="28"/>
      <c r="BL833" s="28"/>
      <c r="BM833" s="28"/>
      <c r="BN833" s="28"/>
      <c r="BO833" s="28"/>
    </row>
    <row r="834">
      <c r="A834" s="1"/>
      <c r="B834" s="1"/>
      <c r="C834" s="1"/>
      <c r="D834" s="1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  <c r="BH834" s="46"/>
      <c r="BI834" s="29"/>
      <c r="BJ834" s="28"/>
      <c r="BK834" s="28"/>
      <c r="BL834" s="28"/>
      <c r="BM834" s="28"/>
      <c r="BN834" s="28"/>
      <c r="BO834" s="28"/>
    </row>
    <row r="835">
      <c r="A835" s="1"/>
      <c r="B835" s="1"/>
      <c r="C835" s="1"/>
      <c r="D835" s="1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46"/>
      <c r="BI835" s="29"/>
      <c r="BJ835" s="28"/>
      <c r="BK835" s="28"/>
      <c r="BL835" s="28"/>
      <c r="BM835" s="28"/>
      <c r="BN835" s="28"/>
      <c r="BO835" s="28"/>
    </row>
    <row r="836">
      <c r="A836" s="1"/>
      <c r="B836" s="1"/>
      <c r="C836" s="1"/>
      <c r="D836" s="1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46"/>
      <c r="BI836" s="29"/>
      <c r="BJ836" s="28"/>
      <c r="BK836" s="28"/>
      <c r="BL836" s="28"/>
      <c r="BM836" s="28"/>
      <c r="BN836" s="28"/>
      <c r="BO836" s="28"/>
    </row>
    <row r="837">
      <c r="A837" s="1"/>
      <c r="B837" s="1"/>
      <c r="C837" s="1"/>
      <c r="D837" s="1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  <c r="BH837" s="46"/>
      <c r="BI837" s="29"/>
      <c r="BJ837" s="28"/>
      <c r="BK837" s="28"/>
      <c r="BL837" s="28"/>
      <c r="BM837" s="28"/>
      <c r="BN837" s="28"/>
      <c r="BO837" s="28"/>
    </row>
    <row r="838">
      <c r="A838" s="1"/>
      <c r="B838" s="1"/>
      <c r="C838" s="1"/>
      <c r="D838" s="1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  <c r="BH838" s="46"/>
      <c r="BI838" s="29"/>
      <c r="BJ838" s="28"/>
      <c r="BK838" s="28"/>
      <c r="BL838" s="28"/>
      <c r="BM838" s="28"/>
      <c r="BN838" s="28"/>
      <c r="BO838" s="28"/>
    </row>
    <row r="839">
      <c r="A839" s="1"/>
      <c r="B839" s="1"/>
      <c r="C839" s="1"/>
      <c r="D839" s="1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  <c r="BH839" s="46"/>
      <c r="BI839" s="29"/>
      <c r="BJ839" s="28"/>
      <c r="BK839" s="28"/>
      <c r="BL839" s="28"/>
      <c r="BM839" s="28"/>
      <c r="BN839" s="28"/>
      <c r="BO839" s="28"/>
    </row>
    <row r="840">
      <c r="A840" s="1"/>
      <c r="B840" s="1"/>
      <c r="C840" s="1"/>
      <c r="D840" s="1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  <c r="BH840" s="46"/>
      <c r="BI840" s="29"/>
      <c r="BJ840" s="28"/>
      <c r="BK840" s="28"/>
      <c r="BL840" s="28"/>
      <c r="BM840" s="28"/>
      <c r="BN840" s="28"/>
      <c r="BO840" s="28"/>
    </row>
    <row r="841">
      <c r="A841" s="1"/>
      <c r="B841" s="1"/>
      <c r="C841" s="1"/>
      <c r="D841" s="1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  <c r="BH841" s="46"/>
      <c r="BI841" s="29"/>
      <c r="BJ841" s="28"/>
      <c r="BK841" s="28"/>
      <c r="BL841" s="28"/>
      <c r="BM841" s="28"/>
      <c r="BN841" s="28"/>
      <c r="BO841" s="28"/>
    </row>
    <row r="842">
      <c r="A842" s="1"/>
      <c r="B842" s="1"/>
      <c r="C842" s="1"/>
      <c r="D842" s="1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  <c r="BH842" s="46"/>
      <c r="BI842" s="29"/>
      <c r="BJ842" s="28"/>
      <c r="BK842" s="28"/>
      <c r="BL842" s="28"/>
      <c r="BM842" s="28"/>
      <c r="BN842" s="28"/>
      <c r="BO842" s="28"/>
    </row>
    <row r="843">
      <c r="A843" s="1"/>
      <c r="B843" s="1"/>
      <c r="C843" s="1"/>
      <c r="D843" s="1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  <c r="BH843" s="46"/>
      <c r="BI843" s="29"/>
      <c r="BJ843" s="28"/>
      <c r="BK843" s="28"/>
      <c r="BL843" s="28"/>
      <c r="BM843" s="28"/>
      <c r="BN843" s="28"/>
      <c r="BO843" s="28"/>
    </row>
    <row r="844">
      <c r="A844" s="1"/>
      <c r="B844" s="1"/>
      <c r="C844" s="1"/>
      <c r="D844" s="1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  <c r="BH844" s="46"/>
      <c r="BI844" s="29"/>
      <c r="BJ844" s="28"/>
      <c r="BK844" s="28"/>
      <c r="BL844" s="28"/>
      <c r="BM844" s="28"/>
      <c r="BN844" s="28"/>
      <c r="BO844" s="28"/>
    </row>
    <row r="845">
      <c r="A845" s="1"/>
      <c r="B845" s="1"/>
      <c r="C845" s="1"/>
      <c r="D845" s="1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  <c r="BF845" s="28"/>
      <c r="BG845" s="28"/>
      <c r="BH845" s="46"/>
      <c r="BI845" s="29"/>
      <c r="BJ845" s="28"/>
      <c r="BK845" s="28"/>
      <c r="BL845" s="28"/>
      <c r="BM845" s="28"/>
      <c r="BN845" s="28"/>
      <c r="BO845" s="28"/>
    </row>
    <row r="846">
      <c r="A846" s="1"/>
      <c r="B846" s="1"/>
      <c r="C846" s="1"/>
      <c r="D846" s="1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  <c r="BF846" s="28"/>
      <c r="BG846" s="28"/>
      <c r="BH846" s="46"/>
      <c r="BI846" s="29"/>
      <c r="BJ846" s="28"/>
      <c r="BK846" s="28"/>
      <c r="BL846" s="28"/>
      <c r="BM846" s="28"/>
      <c r="BN846" s="28"/>
      <c r="BO846" s="28"/>
    </row>
    <row r="847">
      <c r="A847" s="1"/>
      <c r="B847" s="1"/>
      <c r="C847" s="1"/>
      <c r="D847" s="1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  <c r="BF847" s="28"/>
      <c r="BG847" s="28"/>
      <c r="BH847" s="46"/>
      <c r="BI847" s="29"/>
      <c r="BJ847" s="28"/>
      <c r="BK847" s="28"/>
      <c r="BL847" s="28"/>
      <c r="BM847" s="28"/>
      <c r="BN847" s="28"/>
      <c r="BO847" s="28"/>
    </row>
    <row r="848">
      <c r="A848" s="1"/>
      <c r="B848" s="1"/>
      <c r="C848" s="1"/>
      <c r="D848" s="1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  <c r="BF848" s="28"/>
      <c r="BG848" s="28"/>
      <c r="BH848" s="46"/>
      <c r="BI848" s="29"/>
      <c r="BJ848" s="28"/>
      <c r="BK848" s="28"/>
      <c r="BL848" s="28"/>
      <c r="BM848" s="28"/>
      <c r="BN848" s="28"/>
      <c r="BO848" s="28"/>
    </row>
    <row r="849">
      <c r="A849" s="1"/>
      <c r="B849" s="1"/>
      <c r="C849" s="1"/>
      <c r="D849" s="1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28"/>
      <c r="BH849" s="46"/>
      <c r="BI849" s="29"/>
      <c r="BJ849" s="28"/>
      <c r="BK849" s="28"/>
      <c r="BL849" s="28"/>
      <c r="BM849" s="28"/>
      <c r="BN849" s="28"/>
      <c r="BO849" s="28"/>
    </row>
    <row r="850">
      <c r="A850" s="1"/>
      <c r="B850" s="1"/>
      <c r="C850" s="1"/>
      <c r="D850" s="1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  <c r="BF850" s="28"/>
      <c r="BG850" s="28"/>
      <c r="BH850" s="46"/>
      <c r="BI850" s="29"/>
      <c r="BJ850" s="28"/>
      <c r="BK850" s="28"/>
      <c r="BL850" s="28"/>
      <c r="BM850" s="28"/>
      <c r="BN850" s="28"/>
      <c r="BO850" s="28"/>
    </row>
    <row r="851">
      <c r="A851" s="1"/>
      <c r="B851" s="1"/>
      <c r="C851" s="1"/>
      <c r="D851" s="1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  <c r="BF851" s="28"/>
      <c r="BG851" s="28"/>
      <c r="BH851" s="46"/>
      <c r="BI851" s="29"/>
      <c r="BJ851" s="28"/>
      <c r="BK851" s="28"/>
      <c r="BL851" s="28"/>
      <c r="BM851" s="28"/>
      <c r="BN851" s="28"/>
      <c r="BO851" s="28"/>
    </row>
    <row r="852">
      <c r="A852" s="1"/>
      <c r="B852" s="1"/>
      <c r="C852" s="1"/>
      <c r="D852" s="1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  <c r="BF852" s="28"/>
      <c r="BG852" s="28"/>
      <c r="BH852" s="46"/>
      <c r="BI852" s="29"/>
      <c r="BJ852" s="28"/>
      <c r="BK852" s="28"/>
      <c r="BL852" s="28"/>
      <c r="BM852" s="28"/>
      <c r="BN852" s="28"/>
      <c r="BO852" s="28"/>
    </row>
    <row r="853">
      <c r="A853" s="1"/>
      <c r="B853" s="1"/>
      <c r="C853" s="1"/>
      <c r="D853" s="1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  <c r="BF853" s="28"/>
      <c r="BG853" s="28"/>
      <c r="BH853" s="46"/>
      <c r="BI853" s="29"/>
      <c r="BJ853" s="28"/>
      <c r="BK853" s="28"/>
      <c r="BL853" s="28"/>
      <c r="BM853" s="28"/>
      <c r="BN853" s="28"/>
      <c r="BO853" s="28"/>
    </row>
    <row r="854">
      <c r="A854" s="1"/>
      <c r="B854" s="1"/>
      <c r="C854" s="1"/>
      <c r="D854" s="1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  <c r="BF854" s="28"/>
      <c r="BG854" s="28"/>
      <c r="BH854" s="46"/>
      <c r="BI854" s="29"/>
      <c r="BJ854" s="28"/>
      <c r="BK854" s="28"/>
      <c r="BL854" s="28"/>
      <c r="BM854" s="28"/>
      <c r="BN854" s="28"/>
      <c r="BO854" s="28"/>
    </row>
    <row r="855">
      <c r="A855" s="1"/>
      <c r="B855" s="1"/>
      <c r="C855" s="1"/>
      <c r="D855" s="1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  <c r="BF855" s="28"/>
      <c r="BG855" s="28"/>
      <c r="BH855" s="46"/>
      <c r="BI855" s="29"/>
      <c r="BJ855" s="28"/>
      <c r="BK855" s="28"/>
      <c r="BL855" s="28"/>
      <c r="BM855" s="28"/>
      <c r="BN855" s="28"/>
      <c r="BO855" s="28"/>
    </row>
    <row r="856">
      <c r="A856" s="1"/>
      <c r="B856" s="1"/>
      <c r="C856" s="1"/>
      <c r="D856" s="1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  <c r="BF856" s="28"/>
      <c r="BG856" s="28"/>
      <c r="BH856" s="46"/>
      <c r="BI856" s="29"/>
      <c r="BJ856" s="28"/>
      <c r="BK856" s="28"/>
      <c r="BL856" s="28"/>
      <c r="BM856" s="28"/>
      <c r="BN856" s="28"/>
      <c r="BO856" s="28"/>
    </row>
    <row r="857">
      <c r="A857" s="1"/>
      <c r="B857" s="1"/>
      <c r="C857" s="1"/>
      <c r="D857" s="1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  <c r="BF857" s="28"/>
      <c r="BG857" s="28"/>
      <c r="BH857" s="46"/>
      <c r="BI857" s="29"/>
      <c r="BJ857" s="28"/>
      <c r="BK857" s="28"/>
      <c r="BL857" s="28"/>
      <c r="BM857" s="28"/>
      <c r="BN857" s="28"/>
      <c r="BO857" s="28"/>
    </row>
    <row r="858">
      <c r="A858" s="1"/>
      <c r="B858" s="1"/>
      <c r="C858" s="1"/>
      <c r="D858" s="1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  <c r="BF858" s="28"/>
      <c r="BG858" s="28"/>
      <c r="BH858" s="46"/>
      <c r="BI858" s="29"/>
      <c r="BJ858" s="28"/>
      <c r="BK858" s="28"/>
      <c r="BL858" s="28"/>
      <c r="BM858" s="28"/>
      <c r="BN858" s="28"/>
      <c r="BO858" s="28"/>
    </row>
    <row r="859">
      <c r="A859" s="1"/>
      <c r="B859" s="1"/>
      <c r="C859" s="1"/>
      <c r="D859" s="1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  <c r="BF859" s="28"/>
      <c r="BG859" s="28"/>
      <c r="BH859" s="46"/>
      <c r="BI859" s="29"/>
      <c r="BJ859" s="28"/>
      <c r="BK859" s="28"/>
      <c r="BL859" s="28"/>
      <c r="BM859" s="28"/>
      <c r="BN859" s="28"/>
      <c r="BO859" s="28"/>
    </row>
    <row r="860">
      <c r="A860" s="1"/>
      <c r="B860" s="1"/>
      <c r="C860" s="1"/>
      <c r="D860" s="1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  <c r="BF860" s="28"/>
      <c r="BG860" s="28"/>
      <c r="BH860" s="46"/>
      <c r="BI860" s="29"/>
      <c r="BJ860" s="28"/>
      <c r="BK860" s="28"/>
      <c r="BL860" s="28"/>
      <c r="BM860" s="28"/>
      <c r="BN860" s="28"/>
      <c r="BO860" s="28"/>
    </row>
    <row r="861">
      <c r="A861" s="1"/>
      <c r="B861" s="1"/>
      <c r="C861" s="1"/>
      <c r="D861" s="1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  <c r="BF861" s="28"/>
      <c r="BG861" s="28"/>
      <c r="BH861" s="46"/>
      <c r="BI861" s="29"/>
      <c r="BJ861" s="28"/>
      <c r="BK861" s="28"/>
      <c r="BL861" s="28"/>
      <c r="BM861" s="28"/>
      <c r="BN861" s="28"/>
      <c r="BO861" s="28"/>
    </row>
    <row r="862">
      <c r="A862" s="1"/>
      <c r="B862" s="1"/>
      <c r="C862" s="1"/>
      <c r="D862" s="1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  <c r="BF862" s="28"/>
      <c r="BG862" s="28"/>
      <c r="BH862" s="46"/>
      <c r="BI862" s="29"/>
      <c r="BJ862" s="28"/>
      <c r="BK862" s="28"/>
      <c r="BL862" s="28"/>
      <c r="BM862" s="28"/>
      <c r="BN862" s="28"/>
      <c r="BO862" s="28"/>
    </row>
    <row r="863">
      <c r="A863" s="1"/>
      <c r="B863" s="1"/>
      <c r="C863" s="1"/>
      <c r="D863" s="1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  <c r="BF863" s="28"/>
      <c r="BG863" s="28"/>
      <c r="BH863" s="46"/>
      <c r="BI863" s="29"/>
      <c r="BJ863" s="28"/>
      <c r="BK863" s="28"/>
      <c r="BL863" s="28"/>
      <c r="BM863" s="28"/>
      <c r="BN863" s="28"/>
      <c r="BO863" s="28"/>
    </row>
    <row r="864">
      <c r="A864" s="1"/>
      <c r="B864" s="1"/>
      <c r="C864" s="1"/>
      <c r="D864" s="1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  <c r="BF864" s="28"/>
      <c r="BG864" s="28"/>
      <c r="BH864" s="46"/>
      <c r="BI864" s="29"/>
      <c r="BJ864" s="28"/>
      <c r="BK864" s="28"/>
      <c r="BL864" s="28"/>
      <c r="BM864" s="28"/>
      <c r="BN864" s="28"/>
      <c r="BO864" s="28"/>
    </row>
    <row r="865">
      <c r="A865" s="1"/>
      <c r="B865" s="1"/>
      <c r="C865" s="1"/>
      <c r="D865" s="1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  <c r="BF865" s="28"/>
      <c r="BG865" s="28"/>
      <c r="BH865" s="46"/>
      <c r="BI865" s="29"/>
      <c r="BJ865" s="28"/>
      <c r="BK865" s="28"/>
      <c r="BL865" s="28"/>
      <c r="BM865" s="28"/>
      <c r="BN865" s="28"/>
      <c r="BO865" s="28"/>
    </row>
    <row r="866">
      <c r="A866" s="1"/>
      <c r="B866" s="1"/>
      <c r="C866" s="1"/>
      <c r="D866" s="1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  <c r="BF866" s="28"/>
      <c r="BG866" s="28"/>
      <c r="BH866" s="46"/>
      <c r="BI866" s="29"/>
      <c r="BJ866" s="28"/>
      <c r="BK866" s="28"/>
      <c r="BL866" s="28"/>
      <c r="BM866" s="28"/>
      <c r="BN866" s="28"/>
      <c r="BO866" s="28"/>
    </row>
    <row r="867">
      <c r="A867" s="1"/>
      <c r="B867" s="1"/>
      <c r="C867" s="1"/>
      <c r="D867" s="1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  <c r="BF867" s="28"/>
      <c r="BG867" s="28"/>
      <c r="BH867" s="46"/>
      <c r="BI867" s="29"/>
      <c r="BJ867" s="28"/>
      <c r="BK867" s="28"/>
      <c r="BL867" s="28"/>
      <c r="BM867" s="28"/>
      <c r="BN867" s="28"/>
      <c r="BO867" s="28"/>
    </row>
    <row r="868">
      <c r="A868" s="1"/>
      <c r="B868" s="1"/>
      <c r="C868" s="1"/>
      <c r="D868" s="1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  <c r="BF868" s="28"/>
      <c r="BG868" s="28"/>
      <c r="BH868" s="46"/>
      <c r="BI868" s="29"/>
      <c r="BJ868" s="28"/>
      <c r="BK868" s="28"/>
      <c r="BL868" s="28"/>
      <c r="BM868" s="28"/>
      <c r="BN868" s="28"/>
      <c r="BO868" s="28"/>
    </row>
    <row r="869">
      <c r="A869" s="1"/>
      <c r="B869" s="1"/>
      <c r="C869" s="1"/>
      <c r="D869" s="1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  <c r="BF869" s="28"/>
      <c r="BG869" s="28"/>
      <c r="BH869" s="46"/>
      <c r="BI869" s="29"/>
      <c r="BJ869" s="28"/>
      <c r="BK869" s="28"/>
      <c r="BL869" s="28"/>
      <c r="BM869" s="28"/>
      <c r="BN869" s="28"/>
      <c r="BO869" s="28"/>
    </row>
    <row r="870">
      <c r="A870" s="1"/>
      <c r="B870" s="1"/>
      <c r="C870" s="1"/>
      <c r="D870" s="1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  <c r="BF870" s="28"/>
      <c r="BG870" s="28"/>
      <c r="BH870" s="46"/>
      <c r="BI870" s="29"/>
      <c r="BJ870" s="28"/>
      <c r="BK870" s="28"/>
      <c r="BL870" s="28"/>
      <c r="BM870" s="28"/>
      <c r="BN870" s="28"/>
      <c r="BO870" s="28"/>
    </row>
    <row r="871">
      <c r="A871" s="1"/>
      <c r="B871" s="1"/>
      <c r="C871" s="1"/>
      <c r="D871" s="1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  <c r="BF871" s="28"/>
      <c r="BG871" s="28"/>
      <c r="BH871" s="46"/>
      <c r="BI871" s="29"/>
      <c r="BJ871" s="28"/>
      <c r="BK871" s="28"/>
      <c r="BL871" s="28"/>
      <c r="BM871" s="28"/>
      <c r="BN871" s="28"/>
      <c r="BO871" s="28"/>
    </row>
    <row r="872">
      <c r="A872" s="1"/>
      <c r="B872" s="1"/>
      <c r="C872" s="1"/>
      <c r="D872" s="1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  <c r="BF872" s="28"/>
      <c r="BG872" s="28"/>
      <c r="BH872" s="46"/>
      <c r="BI872" s="29"/>
      <c r="BJ872" s="28"/>
      <c r="BK872" s="28"/>
      <c r="BL872" s="28"/>
      <c r="BM872" s="28"/>
      <c r="BN872" s="28"/>
      <c r="BO872" s="28"/>
    </row>
    <row r="873">
      <c r="A873" s="1"/>
      <c r="B873" s="1"/>
      <c r="C873" s="1"/>
      <c r="D873" s="1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  <c r="BF873" s="28"/>
      <c r="BG873" s="28"/>
      <c r="BH873" s="46"/>
      <c r="BI873" s="29"/>
      <c r="BJ873" s="28"/>
      <c r="BK873" s="28"/>
      <c r="BL873" s="28"/>
      <c r="BM873" s="28"/>
      <c r="BN873" s="28"/>
      <c r="BO873" s="28"/>
    </row>
    <row r="874">
      <c r="A874" s="1"/>
      <c r="B874" s="1"/>
      <c r="C874" s="1"/>
      <c r="D874" s="1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  <c r="BF874" s="28"/>
      <c r="BG874" s="28"/>
      <c r="BH874" s="46"/>
      <c r="BI874" s="29"/>
      <c r="BJ874" s="28"/>
      <c r="BK874" s="28"/>
      <c r="BL874" s="28"/>
      <c r="BM874" s="28"/>
      <c r="BN874" s="28"/>
      <c r="BO874" s="28"/>
    </row>
    <row r="875">
      <c r="A875" s="1"/>
      <c r="B875" s="1"/>
      <c r="C875" s="1"/>
      <c r="D875" s="1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  <c r="BF875" s="28"/>
      <c r="BG875" s="28"/>
      <c r="BH875" s="46"/>
      <c r="BI875" s="29"/>
      <c r="BJ875" s="28"/>
      <c r="BK875" s="28"/>
      <c r="BL875" s="28"/>
      <c r="BM875" s="28"/>
      <c r="BN875" s="28"/>
      <c r="BO875" s="28"/>
    </row>
    <row r="876">
      <c r="A876" s="1"/>
      <c r="B876" s="1"/>
      <c r="C876" s="1"/>
      <c r="D876" s="1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  <c r="BF876" s="28"/>
      <c r="BG876" s="28"/>
      <c r="BH876" s="46"/>
      <c r="BI876" s="29"/>
      <c r="BJ876" s="28"/>
      <c r="BK876" s="28"/>
      <c r="BL876" s="28"/>
      <c r="BM876" s="28"/>
      <c r="BN876" s="28"/>
      <c r="BO876" s="28"/>
    </row>
    <row r="877">
      <c r="A877" s="1"/>
      <c r="B877" s="1"/>
      <c r="C877" s="1"/>
      <c r="D877" s="1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  <c r="BF877" s="28"/>
      <c r="BG877" s="28"/>
      <c r="BH877" s="46"/>
      <c r="BI877" s="29"/>
      <c r="BJ877" s="28"/>
      <c r="BK877" s="28"/>
      <c r="BL877" s="28"/>
      <c r="BM877" s="28"/>
      <c r="BN877" s="28"/>
      <c r="BO877" s="28"/>
    </row>
    <row r="878">
      <c r="A878" s="1"/>
      <c r="B878" s="1"/>
      <c r="C878" s="1"/>
      <c r="D878" s="1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  <c r="BF878" s="28"/>
      <c r="BG878" s="28"/>
      <c r="BH878" s="46"/>
      <c r="BI878" s="29"/>
      <c r="BJ878" s="28"/>
      <c r="BK878" s="28"/>
      <c r="BL878" s="28"/>
      <c r="BM878" s="28"/>
      <c r="BN878" s="28"/>
      <c r="BO878" s="28"/>
    </row>
    <row r="879">
      <c r="A879" s="1"/>
      <c r="B879" s="1"/>
      <c r="C879" s="1"/>
      <c r="D879" s="1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  <c r="BF879" s="28"/>
      <c r="BG879" s="28"/>
      <c r="BH879" s="46"/>
      <c r="BI879" s="29"/>
      <c r="BJ879" s="28"/>
      <c r="BK879" s="28"/>
      <c r="BL879" s="28"/>
      <c r="BM879" s="28"/>
      <c r="BN879" s="28"/>
      <c r="BO879" s="28"/>
    </row>
    <row r="880">
      <c r="A880" s="1"/>
      <c r="B880" s="1"/>
      <c r="C880" s="1"/>
      <c r="D880" s="1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  <c r="BF880" s="28"/>
      <c r="BG880" s="28"/>
      <c r="BH880" s="46"/>
      <c r="BI880" s="29"/>
      <c r="BJ880" s="28"/>
      <c r="BK880" s="28"/>
      <c r="BL880" s="28"/>
      <c r="BM880" s="28"/>
      <c r="BN880" s="28"/>
      <c r="BO880" s="28"/>
    </row>
    <row r="881">
      <c r="A881" s="1"/>
      <c r="B881" s="1"/>
      <c r="C881" s="1"/>
      <c r="D881" s="1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  <c r="BF881" s="28"/>
      <c r="BG881" s="28"/>
      <c r="BH881" s="46"/>
      <c r="BI881" s="29"/>
      <c r="BJ881" s="28"/>
      <c r="BK881" s="28"/>
      <c r="BL881" s="28"/>
      <c r="BM881" s="28"/>
      <c r="BN881" s="28"/>
      <c r="BO881" s="28"/>
    </row>
    <row r="882">
      <c r="A882" s="1"/>
      <c r="B882" s="1"/>
      <c r="C882" s="1"/>
      <c r="D882" s="1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  <c r="BF882" s="28"/>
      <c r="BG882" s="28"/>
      <c r="BH882" s="46"/>
      <c r="BI882" s="29"/>
      <c r="BJ882" s="28"/>
      <c r="BK882" s="28"/>
      <c r="BL882" s="28"/>
      <c r="BM882" s="28"/>
      <c r="BN882" s="28"/>
      <c r="BO882" s="28"/>
    </row>
    <row r="883">
      <c r="A883" s="1"/>
      <c r="B883" s="1"/>
      <c r="C883" s="1"/>
      <c r="D883" s="1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  <c r="BF883" s="28"/>
      <c r="BG883" s="28"/>
      <c r="BH883" s="46"/>
      <c r="BI883" s="29"/>
      <c r="BJ883" s="28"/>
      <c r="BK883" s="28"/>
      <c r="BL883" s="28"/>
      <c r="BM883" s="28"/>
      <c r="BN883" s="28"/>
      <c r="BO883" s="28"/>
    </row>
    <row r="884">
      <c r="A884" s="1"/>
      <c r="B884" s="1"/>
      <c r="C884" s="1"/>
      <c r="D884" s="1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  <c r="BF884" s="28"/>
      <c r="BG884" s="28"/>
      <c r="BH884" s="46"/>
      <c r="BI884" s="29"/>
      <c r="BJ884" s="28"/>
      <c r="BK884" s="28"/>
      <c r="BL884" s="28"/>
      <c r="BM884" s="28"/>
      <c r="BN884" s="28"/>
      <c r="BO884" s="28"/>
    </row>
    <row r="885">
      <c r="A885" s="1"/>
      <c r="B885" s="1"/>
      <c r="C885" s="1"/>
      <c r="D885" s="1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  <c r="BF885" s="28"/>
      <c r="BG885" s="28"/>
      <c r="BH885" s="46"/>
      <c r="BI885" s="29"/>
      <c r="BJ885" s="28"/>
      <c r="BK885" s="28"/>
      <c r="BL885" s="28"/>
      <c r="BM885" s="28"/>
      <c r="BN885" s="28"/>
      <c r="BO885" s="28"/>
    </row>
    <row r="886">
      <c r="A886" s="1"/>
      <c r="B886" s="1"/>
      <c r="C886" s="1"/>
      <c r="D886" s="1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  <c r="BF886" s="28"/>
      <c r="BG886" s="28"/>
      <c r="BH886" s="46"/>
      <c r="BI886" s="29"/>
      <c r="BJ886" s="28"/>
      <c r="BK886" s="28"/>
      <c r="BL886" s="28"/>
      <c r="BM886" s="28"/>
      <c r="BN886" s="28"/>
      <c r="BO886" s="28"/>
    </row>
    <row r="887">
      <c r="A887" s="1"/>
      <c r="B887" s="1"/>
      <c r="C887" s="1"/>
      <c r="D887" s="1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  <c r="BF887" s="28"/>
      <c r="BG887" s="28"/>
      <c r="BH887" s="46"/>
      <c r="BI887" s="29"/>
      <c r="BJ887" s="28"/>
      <c r="BK887" s="28"/>
      <c r="BL887" s="28"/>
      <c r="BM887" s="28"/>
      <c r="BN887" s="28"/>
      <c r="BO887" s="28"/>
    </row>
    <row r="888">
      <c r="A888" s="1"/>
      <c r="B888" s="1"/>
      <c r="C888" s="1"/>
      <c r="D888" s="1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  <c r="BF888" s="28"/>
      <c r="BG888" s="28"/>
      <c r="BH888" s="46"/>
      <c r="BI888" s="29"/>
      <c r="BJ888" s="28"/>
      <c r="BK888" s="28"/>
      <c r="BL888" s="28"/>
      <c r="BM888" s="28"/>
      <c r="BN888" s="28"/>
      <c r="BO888" s="28"/>
    </row>
    <row r="889">
      <c r="A889" s="1"/>
      <c r="B889" s="1"/>
      <c r="C889" s="1"/>
      <c r="D889" s="1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  <c r="BF889" s="28"/>
      <c r="BG889" s="28"/>
      <c r="BH889" s="46"/>
      <c r="BI889" s="29"/>
      <c r="BJ889" s="28"/>
      <c r="BK889" s="28"/>
      <c r="BL889" s="28"/>
      <c r="BM889" s="28"/>
      <c r="BN889" s="28"/>
      <c r="BO889" s="28"/>
    </row>
    <row r="890">
      <c r="A890" s="1"/>
      <c r="B890" s="1"/>
      <c r="C890" s="1"/>
      <c r="D890" s="1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  <c r="BF890" s="28"/>
      <c r="BG890" s="28"/>
      <c r="BH890" s="46"/>
      <c r="BI890" s="29"/>
      <c r="BJ890" s="28"/>
      <c r="BK890" s="28"/>
      <c r="BL890" s="28"/>
      <c r="BM890" s="28"/>
      <c r="BN890" s="28"/>
      <c r="BO890" s="28"/>
    </row>
    <row r="891">
      <c r="A891" s="1"/>
      <c r="B891" s="1"/>
      <c r="C891" s="1"/>
      <c r="D891" s="1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  <c r="BF891" s="28"/>
      <c r="BG891" s="28"/>
      <c r="BH891" s="46"/>
      <c r="BI891" s="29"/>
      <c r="BJ891" s="28"/>
      <c r="BK891" s="28"/>
      <c r="BL891" s="28"/>
      <c r="BM891" s="28"/>
      <c r="BN891" s="28"/>
      <c r="BO891" s="28"/>
    </row>
    <row r="892">
      <c r="A892" s="1"/>
      <c r="B892" s="1"/>
      <c r="C892" s="1"/>
      <c r="D892" s="1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  <c r="BF892" s="28"/>
      <c r="BG892" s="28"/>
      <c r="BH892" s="46"/>
      <c r="BI892" s="29"/>
      <c r="BJ892" s="28"/>
      <c r="BK892" s="28"/>
      <c r="BL892" s="28"/>
      <c r="BM892" s="28"/>
      <c r="BN892" s="28"/>
      <c r="BO892" s="28"/>
    </row>
    <row r="893">
      <c r="A893" s="1"/>
      <c r="B893" s="1"/>
      <c r="C893" s="1"/>
      <c r="D893" s="1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  <c r="BH893" s="46"/>
      <c r="BI893" s="29"/>
      <c r="BJ893" s="28"/>
      <c r="BK893" s="28"/>
      <c r="BL893" s="28"/>
      <c r="BM893" s="28"/>
      <c r="BN893" s="28"/>
      <c r="BO893" s="28"/>
    </row>
    <row r="894">
      <c r="A894" s="1"/>
      <c r="B894" s="1"/>
      <c r="C894" s="1"/>
      <c r="D894" s="1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  <c r="BF894" s="28"/>
      <c r="BG894" s="28"/>
      <c r="BH894" s="46"/>
      <c r="BI894" s="29"/>
      <c r="BJ894" s="28"/>
      <c r="BK894" s="28"/>
      <c r="BL894" s="28"/>
      <c r="BM894" s="28"/>
      <c r="BN894" s="28"/>
      <c r="BO894" s="28"/>
    </row>
    <row r="895">
      <c r="A895" s="1"/>
      <c r="B895" s="1"/>
      <c r="C895" s="1"/>
      <c r="D895" s="1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  <c r="BF895" s="28"/>
      <c r="BG895" s="28"/>
      <c r="BH895" s="46"/>
      <c r="BI895" s="29"/>
      <c r="BJ895" s="28"/>
      <c r="BK895" s="28"/>
      <c r="BL895" s="28"/>
      <c r="BM895" s="28"/>
      <c r="BN895" s="28"/>
      <c r="BO895" s="28"/>
    </row>
    <row r="896">
      <c r="A896" s="1"/>
      <c r="B896" s="1"/>
      <c r="C896" s="1"/>
      <c r="D896" s="1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  <c r="BF896" s="28"/>
      <c r="BG896" s="28"/>
      <c r="BH896" s="46"/>
      <c r="BI896" s="29"/>
      <c r="BJ896" s="28"/>
      <c r="BK896" s="28"/>
      <c r="BL896" s="28"/>
      <c r="BM896" s="28"/>
      <c r="BN896" s="28"/>
      <c r="BO896" s="28"/>
    </row>
    <row r="897">
      <c r="A897" s="1"/>
      <c r="B897" s="1"/>
      <c r="C897" s="1"/>
      <c r="D897" s="1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  <c r="BF897" s="28"/>
      <c r="BG897" s="28"/>
      <c r="BH897" s="46"/>
      <c r="BI897" s="29"/>
      <c r="BJ897" s="28"/>
      <c r="BK897" s="28"/>
      <c r="BL897" s="28"/>
      <c r="BM897" s="28"/>
      <c r="BN897" s="28"/>
      <c r="BO897" s="28"/>
    </row>
    <row r="898">
      <c r="A898" s="1"/>
      <c r="B898" s="1"/>
      <c r="C898" s="1"/>
      <c r="D898" s="1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  <c r="BF898" s="28"/>
      <c r="BG898" s="28"/>
      <c r="BH898" s="46"/>
      <c r="BI898" s="29"/>
      <c r="BJ898" s="28"/>
      <c r="BK898" s="28"/>
      <c r="BL898" s="28"/>
      <c r="BM898" s="28"/>
      <c r="BN898" s="28"/>
      <c r="BO898" s="28"/>
    </row>
    <row r="899">
      <c r="A899" s="1"/>
      <c r="B899" s="1"/>
      <c r="C899" s="1"/>
      <c r="D899" s="1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  <c r="BF899" s="28"/>
      <c r="BG899" s="28"/>
      <c r="BH899" s="46"/>
      <c r="BI899" s="29"/>
      <c r="BJ899" s="28"/>
      <c r="BK899" s="28"/>
      <c r="BL899" s="28"/>
      <c r="BM899" s="28"/>
      <c r="BN899" s="28"/>
      <c r="BO899" s="28"/>
    </row>
    <row r="900">
      <c r="A900" s="1"/>
      <c r="B900" s="1"/>
      <c r="C900" s="1"/>
      <c r="D900" s="1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  <c r="BF900" s="28"/>
      <c r="BG900" s="28"/>
      <c r="BH900" s="46"/>
      <c r="BI900" s="29"/>
      <c r="BJ900" s="28"/>
      <c r="BK900" s="28"/>
      <c r="BL900" s="28"/>
      <c r="BM900" s="28"/>
      <c r="BN900" s="28"/>
      <c r="BO900" s="28"/>
    </row>
    <row r="901">
      <c r="A901" s="1"/>
      <c r="B901" s="1"/>
      <c r="C901" s="1"/>
      <c r="D901" s="1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  <c r="BF901" s="28"/>
      <c r="BG901" s="28"/>
      <c r="BH901" s="46"/>
      <c r="BI901" s="29"/>
      <c r="BJ901" s="28"/>
      <c r="BK901" s="28"/>
      <c r="BL901" s="28"/>
      <c r="BM901" s="28"/>
      <c r="BN901" s="28"/>
      <c r="BO901" s="28"/>
    </row>
    <row r="902">
      <c r="A902" s="1"/>
      <c r="B902" s="1"/>
      <c r="C902" s="1"/>
      <c r="D902" s="1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  <c r="BF902" s="28"/>
      <c r="BG902" s="28"/>
      <c r="BH902" s="46"/>
      <c r="BI902" s="29"/>
      <c r="BJ902" s="28"/>
      <c r="BK902" s="28"/>
      <c r="BL902" s="28"/>
      <c r="BM902" s="28"/>
      <c r="BN902" s="28"/>
      <c r="BO902" s="28"/>
    </row>
    <row r="903">
      <c r="A903" s="1"/>
      <c r="B903" s="1"/>
      <c r="C903" s="1"/>
      <c r="D903" s="1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  <c r="BF903" s="28"/>
      <c r="BG903" s="28"/>
      <c r="BH903" s="46"/>
      <c r="BI903" s="29"/>
      <c r="BJ903" s="28"/>
      <c r="BK903" s="28"/>
      <c r="BL903" s="28"/>
      <c r="BM903" s="28"/>
      <c r="BN903" s="28"/>
      <c r="BO903" s="28"/>
    </row>
    <row r="904">
      <c r="A904" s="1"/>
      <c r="B904" s="1"/>
      <c r="C904" s="1"/>
      <c r="D904" s="1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  <c r="BF904" s="28"/>
      <c r="BG904" s="28"/>
      <c r="BH904" s="46"/>
      <c r="BI904" s="29"/>
      <c r="BJ904" s="28"/>
      <c r="BK904" s="28"/>
      <c r="BL904" s="28"/>
      <c r="BM904" s="28"/>
      <c r="BN904" s="28"/>
      <c r="BO904" s="28"/>
    </row>
    <row r="905">
      <c r="A905" s="1"/>
      <c r="B905" s="1"/>
      <c r="C905" s="1"/>
      <c r="D905" s="1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  <c r="BF905" s="28"/>
      <c r="BG905" s="28"/>
      <c r="BH905" s="46"/>
      <c r="BI905" s="29"/>
      <c r="BJ905" s="28"/>
      <c r="BK905" s="28"/>
      <c r="BL905" s="28"/>
      <c r="BM905" s="28"/>
      <c r="BN905" s="28"/>
      <c r="BO905" s="28"/>
    </row>
    <row r="906">
      <c r="A906" s="1"/>
      <c r="B906" s="1"/>
      <c r="C906" s="1"/>
      <c r="D906" s="1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  <c r="BF906" s="28"/>
      <c r="BG906" s="28"/>
      <c r="BH906" s="46"/>
      <c r="BI906" s="29"/>
      <c r="BJ906" s="28"/>
      <c r="BK906" s="28"/>
      <c r="BL906" s="28"/>
      <c r="BM906" s="28"/>
      <c r="BN906" s="28"/>
      <c r="BO906" s="28"/>
    </row>
    <row r="907">
      <c r="A907" s="1"/>
      <c r="B907" s="1"/>
      <c r="C907" s="1"/>
      <c r="D907" s="1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  <c r="BF907" s="28"/>
      <c r="BG907" s="28"/>
      <c r="BH907" s="46"/>
      <c r="BI907" s="29"/>
      <c r="BJ907" s="28"/>
      <c r="BK907" s="28"/>
      <c r="BL907" s="28"/>
      <c r="BM907" s="28"/>
      <c r="BN907" s="28"/>
      <c r="BO907" s="28"/>
    </row>
    <row r="908">
      <c r="A908" s="1"/>
      <c r="B908" s="1"/>
      <c r="C908" s="1"/>
      <c r="D908" s="1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  <c r="BF908" s="28"/>
      <c r="BG908" s="28"/>
      <c r="BH908" s="46"/>
      <c r="BI908" s="29"/>
      <c r="BJ908" s="28"/>
      <c r="BK908" s="28"/>
      <c r="BL908" s="28"/>
      <c r="BM908" s="28"/>
      <c r="BN908" s="28"/>
      <c r="BO908" s="28"/>
    </row>
    <row r="909">
      <c r="A909" s="1"/>
      <c r="B909" s="1"/>
      <c r="C909" s="1"/>
      <c r="D909" s="1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  <c r="BF909" s="28"/>
      <c r="BG909" s="28"/>
      <c r="BH909" s="46"/>
      <c r="BI909" s="29"/>
      <c r="BJ909" s="28"/>
      <c r="BK909" s="28"/>
      <c r="BL909" s="28"/>
      <c r="BM909" s="28"/>
      <c r="BN909" s="28"/>
      <c r="BO909" s="28"/>
    </row>
    <row r="910">
      <c r="A910" s="1"/>
      <c r="B910" s="1"/>
      <c r="C910" s="1"/>
      <c r="D910" s="1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  <c r="BF910" s="28"/>
      <c r="BG910" s="28"/>
      <c r="BH910" s="46"/>
      <c r="BI910" s="29"/>
      <c r="BJ910" s="28"/>
      <c r="BK910" s="28"/>
      <c r="BL910" s="28"/>
      <c r="BM910" s="28"/>
      <c r="BN910" s="28"/>
      <c r="BO910" s="28"/>
    </row>
    <row r="911">
      <c r="A911" s="1"/>
      <c r="B911" s="1"/>
      <c r="C911" s="1"/>
      <c r="D911" s="1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  <c r="BF911" s="28"/>
      <c r="BG911" s="28"/>
      <c r="BH911" s="46"/>
      <c r="BI911" s="29"/>
      <c r="BJ911" s="28"/>
      <c r="BK911" s="28"/>
      <c r="BL911" s="28"/>
      <c r="BM911" s="28"/>
      <c r="BN911" s="28"/>
      <c r="BO911" s="28"/>
    </row>
    <row r="912">
      <c r="A912" s="1"/>
      <c r="B912" s="1"/>
      <c r="C912" s="1"/>
      <c r="D912" s="1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  <c r="BF912" s="28"/>
      <c r="BG912" s="28"/>
      <c r="BH912" s="46"/>
      <c r="BI912" s="29"/>
      <c r="BJ912" s="28"/>
      <c r="BK912" s="28"/>
      <c r="BL912" s="28"/>
      <c r="BM912" s="28"/>
      <c r="BN912" s="28"/>
      <c r="BO912" s="28"/>
    </row>
    <row r="913">
      <c r="A913" s="1"/>
      <c r="B913" s="1"/>
      <c r="C913" s="1"/>
      <c r="D913" s="1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  <c r="BF913" s="28"/>
      <c r="BG913" s="28"/>
      <c r="BH913" s="46"/>
      <c r="BI913" s="29"/>
      <c r="BJ913" s="28"/>
      <c r="BK913" s="28"/>
      <c r="BL913" s="28"/>
      <c r="BM913" s="28"/>
      <c r="BN913" s="28"/>
      <c r="BO913" s="28"/>
    </row>
    <row r="914">
      <c r="A914" s="1"/>
      <c r="B914" s="1"/>
      <c r="C914" s="1"/>
      <c r="D914" s="1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  <c r="BF914" s="28"/>
      <c r="BG914" s="28"/>
      <c r="BH914" s="46"/>
      <c r="BI914" s="29"/>
      <c r="BJ914" s="28"/>
      <c r="BK914" s="28"/>
      <c r="BL914" s="28"/>
      <c r="BM914" s="28"/>
      <c r="BN914" s="28"/>
      <c r="BO914" s="28"/>
    </row>
    <row r="915">
      <c r="A915" s="1"/>
      <c r="B915" s="1"/>
      <c r="C915" s="1"/>
      <c r="D915" s="1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  <c r="BF915" s="28"/>
      <c r="BG915" s="28"/>
      <c r="BH915" s="46"/>
      <c r="BI915" s="29"/>
      <c r="BJ915" s="28"/>
      <c r="BK915" s="28"/>
      <c r="BL915" s="28"/>
      <c r="BM915" s="28"/>
      <c r="BN915" s="28"/>
      <c r="BO915" s="28"/>
    </row>
    <row r="916">
      <c r="A916" s="1"/>
      <c r="B916" s="1"/>
      <c r="C916" s="1"/>
      <c r="D916" s="1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  <c r="BF916" s="28"/>
      <c r="BG916" s="28"/>
      <c r="BH916" s="46"/>
      <c r="BI916" s="29"/>
      <c r="BJ916" s="28"/>
      <c r="BK916" s="28"/>
      <c r="BL916" s="28"/>
      <c r="BM916" s="28"/>
      <c r="BN916" s="28"/>
      <c r="BO916" s="28"/>
    </row>
    <row r="917">
      <c r="A917" s="1"/>
      <c r="B917" s="1"/>
      <c r="C917" s="1"/>
      <c r="D917" s="1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  <c r="BF917" s="28"/>
      <c r="BG917" s="28"/>
      <c r="BH917" s="46"/>
      <c r="BI917" s="29"/>
      <c r="BJ917" s="28"/>
      <c r="BK917" s="28"/>
      <c r="BL917" s="28"/>
      <c r="BM917" s="28"/>
      <c r="BN917" s="28"/>
      <c r="BO917" s="28"/>
    </row>
    <row r="918">
      <c r="A918" s="1"/>
      <c r="B918" s="1"/>
      <c r="C918" s="1"/>
      <c r="D918" s="1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  <c r="BF918" s="28"/>
      <c r="BG918" s="28"/>
      <c r="BH918" s="46"/>
      <c r="BI918" s="29"/>
      <c r="BJ918" s="28"/>
      <c r="BK918" s="28"/>
      <c r="BL918" s="28"/>
      <c r="BM918" s="28"/>
      <c r="BN918" s="28"/>
      <c r="BO918" s="28"/>
    </row>
    <row r="919">
      <c r="A919" s="1"/>
      <c r="B919" s="1"/>
      <c r="C919" s="1"/>
      <c r="D919" s="1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  <c r="BF919" s="28"/>
      <c r="BG919" s="28"/>
      <c r="BH919" s="46"/>
      <c r="BI919" s="29"/>
      <c r="BJ919" s="28"/>
      <c r="BK919" s="28"/>
      <c r="BL919" s="28"/>
      <c r="BM919" s="28"/>
      <c r="BN919" s="28"/>
      <c r="BO919" s="28"/>
    </row>
    <row r="920">
      <c r="A920" s="1"/>
      <c r="B920" s="1"/>
      <c r="C920" s="1"/>
      <c r="D920" s="1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  <c r="BF920" s="28"/>
      <c r="BG920" s="28"/>
      <c r="BH920" s="46"/>
      <c r="BI920" s="29"/>
      <c r="BJ920" s="28"/>
      <c r="BK920" s="28"/>
      <c r="BL920" s="28"/>
      <c r="BM920" s="28"/>
      <c r="BN920" s="28"/>
      <c r="BO920" s="28"/>
    </row>
    <row r="921">
      <c r="A921" s="1"/>
      <c r="B921" s="1"/>
      <c r="C921" s="1"/>
      <c r="D921" s="1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  <c r="BF921" s="28"/>
      <c r="BG921" s="28"/>
      <c r="BH921" s="46"/>
      <c r="BI921" s="29"/>
      <c r="BJ921" s="28"/>
      <c r="BK921" s="28"/>
      <c r="BL921" s="28"/>
      <c r="BM921" s="28"/>
      <c r="BN921" s="28"/>
      <c r="BO921" s="28"/>
    </row>
    <row r="922">
      <c r="A922" s="1"/>
      <c r="B922" s="1"/>
      <c r="C922" s="1"/>
      <c r="D922" s="1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  <c r="BF922" s="28"/>
      <c r="BG922" s="28"/>
      <c r="BH922" s="46"/>
      <c r="BI922" s="29"/>
      <c r="BJ922" s="28"/>
      <c r="BK922" s="28"/>
      <c r="BL922" s="28"/>
      <c r="BM922" s="28"/>
      <c r="BN922" s="28"/>
      <c r="BO922" s="28"/>
    </row>
    <row r="923">
      <c r="A923" s="1"/>
      <c r="B923" s="1"/>
      <c r="C923" s="1"/>
      <c r="D923" s="1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  <c r="BF923" s="28"/>
      <c r="BG923" s="28"/>
      <c r="BH923" s="46"/>
      <c r="BI923" s="29"/>
      <c r="BJ923" s="28"/>
      <c r="BK923" s="28"/>
      <c r="BL923" s="28"/>
      <c r="BM923" s="28"/>
      <c r="BN923" s="28"/>
      <c r="BO923" s="28"/>
    </row>
    <row r="924">
      <c r="A924" s="1"/>
      <c r="B924" s="1"/>
      <c r="C924" s="1"/>
      <c r="D924" s="1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  <c r="BF924" s="28"/>
      <c r="BG924" s="28"/>
      <c r="BH924" s="46"/>
      <c r="BI924" s="29"/>
      <c r="BJ924" s="28"/>
      <c r="BK924" s="28"/>
      <c r="BL924" s="28"/>
      <c r="BM924" s="28"/>
      <c r="BN924" s="28"/>
      <c r="BO924" s="28"/>
    </row>
    <row r="925">
      <c r="A925" s="1"/>
      <c r="B925" s="1"/>
      <c r="C925" s="1"/>
      <c r="D925" s="1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  <c r="BF925" s="28"/>
      <c r="BG925" s="28"/>
      <c r="BH925" s="46"/>
      <c r="BI925" s="29"/>
      <c r="BJ925" s="28"/>
      <c r="BK925" s="28"/>
      <c r="BL925" s="28"/>
      <c r="BM925" s="28"/>
      <c r="BN925" s="28"/>
      <c r="BO925" s="28"/>
    </row>
    <row r="926">
      <c r="A926" s="1"/>
      <c r="B926" s="1"/>
      <c r="C926" s="1"/>
      <c r="D926" s="1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  <c r="BF926" s="28"/>
      <c r="BG926" s="28"/>
      <c r="BH926" s="46"/>
      <c r="BI926" s="29"/>
      <c r="BJ926" s="28"/>
      <c r="BK926" s="28"/>
      <c r="BL926" s="28"/>
      <c r="BM926" s="28"/>
      <c r="BN926" s="28"/>
      <c r="BO926" s="28"/>
    </row>
    <row r="927">
      <c r="A927" s="1"/>
      <c r="B927" s="1"/>
      <c r="C927" s="1"/>
      <c r="D927" s="1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  <c r="BF927" s="28"/>
      <c r="BG927" s="28"/>
      <c r="BH927" s="46"/>
      <c r="BI927" s="29"/>
      <c r="BJ927" s="28"/>
      <c r="BK927" s="28"/>
      <c r="BL927" s="28"/>
      <c r="BM927" s="28"/>
      <c r="BN927" s="28"/>
      <c r="BO927" s="28"/>
    </row>
    <row r="928">
      <c r="A928" s="1"/>
      <c r="B928" s="1"/>
      <c r="C928" s="1"/>
      <c r="D928" s="1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  <c r="BF928" s="28"/>
      <c r="BG928" s="28"/>
      <c r="BH928" s="46"/>
      <c r="BI928" s="29"/>
      <c r="BJ928" s="28"/>
      <c r="BK928" s="28"/>
      <c r="BL928" s="28"/>
      <c r="BM928" s="28"/>
      <c r="BN928" s="28"/>
      <c r="BO928" s="28"/>
    </row>
    <row r="929">
      <c r="A929" s="1"/>
      <c r="B929" s="1"/>
      <c r="C929" s="1"/>
      <c r="D929" s="1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  <c r="BF929" s="28"/>
      <c r="BG929" s="28"/>
      <c r="BH929" s="46"/>
      <c r="BI929" s="29"/>
      <c r="BJ929" s="28"/>
      <c r="BK929" s="28"/>
      <c r="BL929" s="28"/>
      <c r="BM929" s="28"/>
      <c r="BN929" s="28"/>
      <c r="BO929" s="28"/>
    </row>
    <row r="930">
      <c r="A930" s="1"/>
      <c r="B930" s="1"/>
      <c r="C930" s="1"/>
      <c r="D930" s="1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  <c r="BF930" s="28"/>
      <c r="BG930" s="28"/>
      <c r="BH930" s="46"/>
      <c r="BI930" s="29"/>
      <c r="BJ930" s="28"/>
      <c r="BK930" s="28"/>
      <c r="BL930" s="28"/>
      <c r="BM930" s="28"/>
      <c r="BN930" s="28"/>
      <c r="BO930" s="28"/>
    </row>
    <row r="931">
      <c r="A931" s="1"/>
      <c r="B931" s="1"/>
      <c r="C931" s="1"/>
      <c r="D931" s="1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  <c r="BF931" s="28"/>
      <c r="BG931" s="28"/>
      <c r="BH931" s="46"/>
      <c r="BI931" s="29"/>
      <c r="BJ931" s="28"/>
      <c r="BK931" s="28"/>
      <c r="BL931" s="28"/>
      <c r="BM931" s="28"/>
      <c r="BN931" s="28"/>
      <c r="BO931" s="28"/>
    </row>
    <row r="932">
      <c r="A932" s="1"/>
      <c r="B932" s="1"/>
      <c r="C932" s="1"/>
      <c r="D932" s="1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  <c r="BF932" s="28"/>
      <c r="BG932" s="28"/>
      <c r="BH932" s="46"/>
      <c r="BI932" s="29"/>
      <c r="BJ932" s="28"/>
      <c r="BK932" s="28"/>
      <c r="BL932" s="28"/>
      <c r="BM932" s="28"/>
      <c r="BN932" s="28"/>
      <c r="BO932" s="28"/>
    </row>
    <row r="933">
      <c r="A933" s="1"/>
      <c r="B933" s="1"/>
      <c r="C933" s="1"/>
      <c r="D933" s="1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  <c r="BF933" s="28"/>
      <c r="BG933" s="28"/>
      <c r="BH933" s="46"/>
      <c r="BI933" s="29"/>
      <c r="BJ933" s="28"/>
      <c r="BK933" s="28"/>
      <c r="BL933" s="28"/>
      <c r="BM933" s="28"/>
      <c r="BN933" s="28"/>
      <c r="BO933" s="28"/>
    </row>
    <row r="934">
      <c r="A934" s="1"/>
      <c r="B934" s="1"/>
      <c r="C934" s="1"/>
      <c r="D934" s="1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  <c r="BF934" s="28"/>
      <c r="BG934" s="28"/>
      <c r="BH934" s="46"/>
      <c r="BI934" s="29"/>
      <c r="BJ934" s="28"/>
      <c r="BK934" s="28"/>
      <c r="BL934" s="28"/>
      <c r="BM934" s="28"/>
      <c r="BN934" s="28"/>
      <c r="BO934" s="28"/>
    </row>
    <row r="935">
      <c r="A935" s="1"/>
      <c r="B935" s="1"/>
      <c r="C935" s="1"/>
      <c r="D935" s="1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  <c r="BF935" s="28"/>
      <c r="BG935" s="28"/>
      <c r="BH935" s="46"/>
      <c r="BI935" s="29"/>
      <c r="BJ935" s="28"/>
      <c r="BK935" s="28"/>
      <c r="BL935" s="28"/>
      <c r="BM935" s="28"/>
      <c r="BN935" s="28"/>
      <c r="BO935" s="28"/>
    </row>
    <row r="936">
      <c r="A936" s="1"/>
      <c r="B936" s="1"/>
      <c r="C936" s="1"/>
      <c r="D936" s="1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  <c r="BF936" s="28"/>
      <c r="BG936" s="28"/>
      <c r="BH936" s="46"/>
      <c r="BI936" s="29"/>
      <c r="BJ936" s="28"/>
      <c r="BK936" s="28"/>
      <c r="BL936" s="28"/>
      <c r="BM936" s="28"/>
      <c r="BN936" s="28"/>
      <c r="BO936" s="28"/>
    </row>
    <row r="937">
      <c r="A937" s="1"/>
      <c r="B937" s="1"/>
      <c r="C937" s="1"/>
      <c r="D937" s="1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  <c r="BF937" s="28"/>
      <c r="BG937" s="28"/>
      <c r="BH937" s="46"/>
      <c r="BI937" s="29"/>
      <c r="BJ937" s="28"/>
      <c r="BK937" s="28"/>
      <c r="BL937" s="28"/>
      <c r="BM937" s="28"/>
      <c r="BN937" s="28"/>
      <c r="BO937" s="28"/>
    </row>
    <row r="938">
      <c r="A938" s="1"/>
      <c r="B938" s="1"/>
      <c r="C938" s="1"/>
      <c r="D938" s="1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  <c r="BF938" s="28"/>
      <c r="BG938" s="28"/>
      <c r="BH938" s="46"/>
      <c r="BI938" s="29"/>
      <c r="BJ938" s="28"/>
      <c r="BK938" s="28"/>
      <c r="BL938" s="28"/>
      <c r="BM938" s="28"/>
      <c r="BN938" s="28"/>
      <c r="BO938" s="28"/>
    </row>
    <row r="939">
      <c r="A939" s="1"/>
      <c r="B939" s="1"/>
      <c r="C939" s="1"/>
      <c r="D939" s="1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  <c r="BF939" s="28"/>
      <c r="BG939" s="28"/>
      <c r="BH939" s="46"/>
      <c r="BI939" s="29"/>
      <c r="BJ939" s="28"/>
      <c r="BK939" s="28"/>
      <c r="BL939" s="28"/>
      <c r="BM939" s="28"/>
      <c r="BN939" s="28"/>
      <c r="BO939" s="28"/>
    </row>
    <row r="940">
      <c r="A940" s="1"/>
      <c r="B940" s="1"/>
      <c r="C940" s="1"/>
      <c r="D940" s="1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  <c r="BF940" s="28"/>
      <c r="BG940" s="28"/>
      <c r="BH940" s="46"/>
      <c r="BI940" s="29"/>
      <c r="BJ940" s="28"/>
      <c r="BK940" s="28"/>
      <c r="BL940" s="28"/>
      <c r="BM940" s="28"/>
      <c r="BN940" s="28"/>
      <c r="BO940" s="28"/>
    </row>
    <row r="941">
      <c r="A941" s="1"/>
      <c r="B941" s="1"/>
      <c r="C941" s="1"/>
      <c r="D941" s="1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  <c r="BF941" s="28"/>
      <c r="BG941" s="28"/>
      <c r="BH941" s="46"/>
      <c r="BI941" s="29"/>
      <c r="BJ941" s="28"/>
      <c r="BK941" s="28"/>
      <c r="BL941" s="28"/>
      <c r="BM941" s="28"/>
      <c r="BN941" s="28"/>
      <c r="BO941" s="28"/>
    </row>
    <row r="942">
      <c r="A942" s="1"/>
      <c r="B942" s="1"/>
      <c r="C942" s="1"/>
      <c r="D942" s="1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  <c r="BF942" s="28"/>
      <c r="BG942" s="28"/>
      <c r="BH942" s="46"/>
      <c r="BI942" s="29"/>
      <c r="BJ942" s="28"/>
      <c r="BK942" s="28"/>
      <c r="BL942" s="28"/>
      <c r="BM942" s="28"/>
      <c r="BN942" s="28"/>
      <c r="BO942" s="28"/>
    </row>
    <row r="943">
      <c r="A943" s="1"/>
      <c r="B943" s="1"/>
      <c r="C943" s="1"/>
      <c r="D943" s="1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  <c r="BF943" s="28"/>
      <c r="BG943" s="28"/>
      <c r="BH943" s="46"/>
      <c r="BI943" s="29"/>
      <c r="BJ943" s="28"/>
      <c r="BK943" s="28"/>
      <c r="BL943" s="28"/>
      <c r="BM943" s="28"/>
      <c r="BN943" s="28"/>
      <c r="BO943" s="28"/>
    </row>
    <row r="944">
      <c r="A944" s="1"/>
      <c r="B944" s="1"/>
      <c r="C944" s="1"/>
      <c r="D944" s="1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  <c r="BF944" s="28"/>
      <c r="BG944" s="28"/>
      <c r="BH944" s="46"/>
      <c r="BI944" s="29"/>
      <c r="BJ944" s="28"/>
      <c r="BK944" s="28"/>
      <c r="BL944" s="28"/>
      <c r="BM944" s="28"/>
      <c r="BN944" s="28"/>
      <c r="BO944" s="28"/>
    </row>
    <row r="945">
      <c r="A945" s="1"/>
      <c r="B945" s="1"/>
      <c r="C945" s="1"/>
      <c r="D945" s="1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  <c r="BF945" s="28"/>
      <c r="BG945" s="28"/>
      <c r="BH945" s="46"/>
      <c r="BI945" s="29"/>
      <c r="BJ945" s="28"/>
      <c r="BK945" s="28"/>
      <c r="BL945" s="28"/>
      <c r="BM945" s="28"/>
      <c r="BN945" s="28"/>
      <c r="BO945" s="28"/>
    </row>
    <row r="946">
      <c r="A946" s="1"/>
      <c r="B946" s="1"/>
      <c r="C946" s="1"/>
      <c r="D946" s="1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  <c r="BF946" s="28"/>
      <c r="BG946" s="28"/>
      <c r="BH946" s="46"/>
      <c r="BI946" s="29"/>
      <c r="BJ946" s="28"/>
      <c r="BK946" s="28"/>
      <c r="BL946" s="28"/>
      <c r="BM946" s="28"/>
      <c r="BN946" s="28"/>
      <c r="BO946" s="28"/>
    </row>
    <row r="947">
      <c r="A947" s="1"/>
      <c r="B947" s="1"/>
      <c r="C947" s="1"/>
      <c r="D947" s="1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  <c r="BF947" s="28"/>
      <c r="BG947" s="28"/>
      <c r="BH947" s="46"/>
      <c r="BI947" s="29"/>
      <c r="BJ947" s="28"/>
      <c r="BK947" s="28"/>
      <c r="BL947" s="28"/>
      <c r="BM947" s="28"/>
      <c r="BN947" s="28"/>
      <c r="BO947" s="28"/>
    </row>
    <row r="948">
      <c r="A948" s="1"/>
      <c r="B948" s="1"/>
      <c r="C948" s="1"/>
      <c r="D948" s="1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  <c r="BF948" s="28"/>
      <c r="BG948" s="28"/>
      <c r="BH948" s="46"/>
      <c r="BI948" s="29"/>
      <c r="BJ948" s="28"/>
      <c r="BK948" s="28"/>
      <c r="BL948" s="28"/>
      <c r="BM948" s="28"/>
      <c r="BN948" s="28"/>
      <c r="BO948" s="28"/>
    </row>
    <row r="949">
      <c r="A949" s="1"/>
      <c r="B949" s="1"/>
      <c r="C949" s="1"/>
      <c r="D949" s="1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  <c r="BF949" s="28"/>
      <c r="BG949" s="28"/>
      <c r="BH949" s="46"/>
      <c r="BI949" s="29"/>
      <c r="BJ949" s="28"/>
      <c r="BK949" s="28"/>
      <c r="BL949" s="28"/>
      <c r="BM949" s="28"/>
      <c r="BN949" s="28"/>
      <c r="BO949" s="28"/>
    </row>
    <row r="950">
      <c r="A950" s="1"/>
      <c r="B950" s="1"/>
      <c r="C950" s="1"/>
      <c r="D950" s="1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  <c r="BF950" s="28"/>
      <c r="BG950" s="28"/>
      <c r="BH950" s="46"/>
      <c r="BI950" s="29"/>
      <c r="BJ950" s="28"/>
      <c r="BK950" s="28"/>
      <c r="BL950" s="28"/>
      <c r="BM950" s="28"/>
      <c r="BN950" s="28"/>
      <c r="BO950" s="28"/>
    </row>
    <row r="951">
      <c r="A951" s="1"/>
      <c r="B951" s="1"/>
      <c r="C951" s="1"/>
      <c r="D951" s="1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  <c r="BF951" s="28"/>
      <c r="BG951" s="28"/>
      <c r="BH951" s="46"/>
      <c r="BI951" s="29"/>
      <c r="BJ951" s="28"/>
      <c r="BK951" s="28"/>
      <c r="BL951" s="28"/>
      <c r="BM951" s="28"/>
      <c r="BN951" s="28"/>
      <c r="BO951" s="28"/>
    </row>
    <row r="952">
      <c r="A952" s="1"/>
      <c r="B952" s="1"/>
      <c r="C952" s="1"/>
      <c r="D952" s="1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  <c r="BF952" s="28"/>
      <c r="BG952" s="28"/>
      <c r="BH952" s="46"/>
      <c r="BI952" s="29"/>
      <c r="BJ952" s="28"/>
      <c r="BK952" s="28"/>
      <c r="BL952" s="28"/>
      <c r="BM952" s="28"/>
      <c r="BN952" s="28"/>
      <c r="BO952" s="28"/>
    </row>
    <row r="953">
      <c r="A953" s="1"/>
      <c r="B953" s="1"/>
      <c r="C953" s="1"/>
      <c r="D953" s="1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  <c r="BF953" s="28"/>
      <c r="BG953" s="28"/>
      <c r="BH953" s="46"/>
      <c r="BI953" s="29"/>
      <c r="BJ953" s="28"/>
      <c r="BK953" s="28"/>
      <c r="BL953" s="28"/>
      <c r="BM953" s="28"/>
      <c r="BN953" s="28"/>
      <c r="BO953" s="28"/>
    </row>
    <row r="954">
      <c r="A954" s="1"/>
      <c r="B954" s="1"/>
      <c r="C954" s="1"/>
      <c r="D954" s="1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  <c r="BF954" s="28"/>
      <c r="BG954" s="28"/>
      <c r="BH954" s="46"/>
      <c r="BI954" s="29"/>
      <c r="BJ954" s="28"/>
      <c r="BK954" s="28"/>
      <c r="BL954" s="28"/>
      <c r="BM954" s="28"/>
      <c r="BN954" s="28"/>
      <c r="BO954" s="28"/>
    </row>
    <row r="955">
      <c r="A955" s="1"/>
      <c r="B955" s="1"/>
      <c r="C955" s="1"/>
      <c r="D955" s="1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  <c r="BF955" s="28"/>
      <c r="BG955" s="28"/>
      <c r="BH955" s="46"/>
      <c r="BI955" s="29"/>
      <c r="BJ955" s="28"/>
      <c r="BK955" s="28"/>
      <c r="BL955" s="28"/>
      <c r="BM955" s="28"/>
      <c r="BN955" s="28"/>
      <c r="BO955" s="28"/>
    </row>
    <row r="956">
      <c r="A956" s="1"/>
      <c r="B956" s="1"/>
      <c r="C956" s="1"/>
      <c r="D956" s="1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  <c r="BF956" s="28"/>
      <c r="BG956" s="28"/>
      <c r="BH956" s="46"/>
      <c r="BI956" s="29"/>
      <c r="BJ956" s="28"/>
      <c r="BK956" s="28"/>
      <c r="BL956" s="28"/>
      <c r="BM956" s="28"/>
      <c r="BN956" s="28"/>
      <c r="BO956" s="28"/>
    </row>
    <row r="957">
      <c r="A957" s="1"/>
      <c r="B957" s="1"/>
      <c r="C957" s="1"/>
      <c r="D957" s="1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  <c r="BF957" s="28"/>
      <c r="BG957" s="28"/>
      <c r="BH957" s="46"/>
      <c r="BI957" s="29"/>
      <c r="BJ957" s="28"/>
      <c r="BK957" s="28"/>
      <c r="BL957" s="28"/>
      <c r="BM957" s="28"/>
      <c r="BN957" s="28"/>
      <c r="BO957" s="28"/>
    </row>
    <row r="958">
      <c r="A958" s="1"/>
      <c r="B958" s="1"/>
      <c r="C958" s="1"/>
      <c r="D958" s="1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  <c r="BF958" s="28"/>
      <c r="BG958" s="28"/>
      <c r="BH958" s="46"/>
      <c r="BI958" s="29"/>
      <c r="BJ958" s="28"/>
      <c r="BK958" s="28"/>
      <c r="BL958" s="28"/>
      <c r="BM958" s="28"/>
      <c r="BN958" s="28"/>
      <c r="BO958" s="28"/>
    </row>
    <row r="959">
      <c r="A959" s="1"/>
      <c r="B959" s="1"/>
      <c r="C959" s="1"/>
      <c r="D959" s="1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  <c r="BF959" s="28"/>
      <c r="BG959" s="28"/>
      <c r="BH959" s="46"/>
      <c r="BI959" s="29"/>
      <c r="BJ959" s="28"/>
      <c r="BK959" s="28"/>
      <c r="BL959" s="28"/>
      <c r="BM959" s="28"/>
      <c r="BN959" s="28"/>
      <c r="BO959" s="28"/>
    </row>
    <row r="960">
      <c r="A960" s="1"/>
      <c r="B960" s="1"/>
      <c r="C960" s="1"/>
      <c r="D960" s="1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  <c r="BF960" s="28"/>
      <c r="BG960" s="28"/>
      <c r="BH960" s="46"/>
      <c r="BI960" s="29"/>
      <c r="BJ960" s="28"/>
      <c r="BK960" s="28"/>
      <c r="BL960" s="28"/>
      <c r="BM960" s="28"/>
      <c r="BN960" s="28"/>
      <c r="BO960" s="28"/>
    </row>
    <row r="961">
      <c r="A961" s="1"/>
      <c r="B961" s="1"/>
      <c r="C961" s="1"/>
      <c r="D961" s="1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  <c r="BF961" s="28"/>
      <c r="BG961" s="28"/>
      <c r="BH961" s="46"/>
      <c r="BI961" s="29"/>
      <c r="BJ961" s="28"/>
      <c r="BK961" s="28"/>
      <c r="BL961" s="28"/>
      <c r="BM961" s="28"/>
      <c r="BN961" s="28"/>
      <c r="BO961" s="28"/>
    </row>
    <row r="962">
      <c r="A962" s="1"/>
      <c r="B962" s="1"/>
      <c r="C962" s="1"/>
      <c r="D962" s="1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  <c r="BF962" s="28"/>
      <c r="BG962" s="28"/>
      <c r="BH962" s="46"/>
      <c r="BI962" s="29"/>
      <c r="BJ962" s="28"/>
      <c r="BK962" s="28"/>
      <c r="BL962" s="28"/>
      <c r="BM962" s="28"/>
      <c r="BN962" s="28"/>
      <c r="BO962" s="28"/>
    </row>
    <row r="963">
      <c r="A963" s="1"/>
      <c r="B963" s="1"/>
      <c r="C963" s="1"/>
      <c r="D963" s="1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  <c r="BF963" s="28"/>
      <c r="BG963" s="28"/>
      <c r="BH963" s="46"/>
      <c r="BI963" s="29"/>
      <c r="BJ963" s="28"/>
      <c r="BK963" s="28"/>
      <c r="BL963" s="28"/>
      <c r="BM963" s="28"/>
      <c r="BN963" s="28"/>
      <c r="BO963" s="28"/>
    </row>
    <row r="964">
      <c r="A964" s="1"/>
      <c r="B964" s="1"/>
      <c r="C964" s="1"/>
      <c r="D964" s="1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  <c r="BF964" s="28"/>
      <c r="BG964" s="28"/>
      <c r="BH964" s="46"/>
      <c r="BI964" s="29"/>
      <c r="BJ964" s="28"/>
      <c r="BK964" s="28"/>
      <c r="BL964" s="28"/>
      <c r="BM964" s="28"/>
      <c r="BN964" s="28"/>
      <c r="BO964" s="28"/>
    </row>
    <row r="965">
      <c r="A965" s="1"/>
      <c r="B965" s="1"/>
      <c r="C965" s="1"/>
      <c r="D965" s="1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  <c r="BF965" s="28"/>
      <c r="BG965" s="28"/>
      <c r="BH965" s="46"/>
      <c r="BI965" s="29"/>
      <c r="BJ965" s="28"/>
      <c r="BK965" s="28"/>
      <c r="BL965" s="28"/>
      <c r="BM965" s="28"/>
      <c r="BN965" s="28"/>
      <c r="BO965" s="28"/>
    </row>
    <row r="966">
      <c r="A966" s="1"/>
      <c r="B966" s="1"/>
      <c r="C966" s="1"/>
      <c r="D966" s="1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  <c r="BF966" s="28"/>
      <c r="BG966" s="28"/>
      <c r="BH966" s="46"/>
      <c r="BI966" s="29"/>
      <c r="BJ966" s="28"/>
      <c r="BK966" s="28"/>
      <c r="BL966" s="28"/>
      <c r="BM966" s="28"/>
      <c r="BN966" s="28"/>
      <c r="BO966" s="28"/>
    </row>
    <row r="967">
      <c r="A967" s="1"/>
      <c r="B967" s="1"/>
      <c r="C967" s="1"/>
      <c r="D967" s="1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  <c r="BF967" s="28"/>
      <c r="BG967" s="28"/>
      <c r="BH967" s="46"/>
      <c r="BI967" s="29"/>
      <c r="BJ967" s="28"/>
      <c r="BK967" s="28"/>
      <c r="BL967" s="28"/>
      <c r="BM967" s="28"/>
      <c r="BN967" s="28"/>
      <c r="BO967" s="28"/>
    </row>
    <row r="968">
      <c r="A968" s="1"/>
      <c r="B968" s="1"/>
      <c r="C968" s="1"/>
      <c r="D968" s="1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  <c r="BF968" s="28"/>
      <c r="BG968" s="28"/>
      <c r="BH968" s="46"/>
      <c r="BI968" s="29"/>
      <c r="BJ968" s="28"/>
      <c r="BK968" s="28"/>
      <c r="BL968" s="28"/>
      <c r="BM968" s="28"/>
      <c r="BN968" s="28"/>
      <c r="BO968" s="28"/>
    </row>
    <row r="969">
      <c r="A969" s="1"/>
      <c r="B969" s="1"/>
      <c r="C969" s="1"/>
      <c r="D969" s="1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  <c r="BF969" s="28"/>
      <c r="BG969" s="28"/>
      <c r="BH969" s="46"/>
      <c r="BI969" s="29"/>
      <c r="BJ969" s="28"/>
      <c r="BK969" s="28"/>
      <c r="BL969" s="28"/>
      <c r="BM969" s="28"/>
      <c r="BN969" s="28"/>
      <c r="BO969" s="28"/>
    </row>
    <row r="970">
      <c r="A970" s="1"/>
      <c r="B970" s="1"/>
      <c r="C970" s="1"/>
      <c r="D970" s="1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  <c r="BF970" s="28"/>
      <c r="BG970" s="28"/>
      <c r="BH970" s="46"/>
      <c r="BI970" s="29"/>
      <c r="BJ970" s="28"/>
      <c r="BK970" s="28"/>
      <c r="BL970" s="28"/>
      <c r="BM970" s="28"/>
      <c r="BN970" s="28"/>
      <c r="BO970" s="28"/>
    </row>
    <row r="971">
      <c r="A971" s="1"/>
      <c r="B971" s="1"/>
      <c r="C971" s="1"/>
      <c r="D971" s="1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  <c r="BF971" s="28"/>
      <c r="BG971" s="28"/>
      <c r="BH971" s="46"/>
      <c r="BI971" s="29"/>
      <c r="BJ971" s="28"/>
      <c r="BK971" s="28"/>
      <c r="BL971" s="28"/>
      <c r="BM971" s="28"/>
      <c r="BN971" s="28"/>
      <c r="BO971" s="28"/>
    </row>
    <row r="972">
      <c r="A972" s="1"/>
      <c r="B972" s="1"/>
      <c r="C972" s="1"/>
      <c r="D972" s="1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  <c r="BF972" s="28"/>
      <c r="BG972" s="28"/>
      <c r="BH972" s="46"/>
      <c r="BI972" s="29"/>
      <c r="BJ972" s="28"/>
      <c r="BK972" s="28"/>
      <c r="BL972" s="28"/>
      <c r="BM972" s="28"/>
      <c r="BN972" s="28"/>
      <c r="BO972" s="28"/>
    </row>
    <row r="973">
      <c r="A973" s="1"/>
      <c r="B973" s="1"/>
      <c r="C973" s="1"/>
      <c r="D973" s="1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  <c r="BF973" s="28"/>
      <c r="BG973" s="28"/>
      <c r="BH973" s="46"/>
      <c r="BI973" s="29"/>
      <c r="BJ973" s="28"/>
      <c r="BK973" s="28"/>
      <c r="BL973" s="28"/>
      <c r="BM973" s="28"/>
      <c r="BN973" s="28"/>
      <c r="BO973" s="28"/>
    </row>
    <row r="974">
      <c r="A974" s="1"/>
      <c r="B974" s="1"/>
      <c r="C974" s="1"/>
      <c r="D974" s="1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  <c r="BF974" s="28"/>
      <c r="BG974" s="28"/>
      <c r="BH974" s="46"/>
      <c r="BI974" s="29"/>
      <c r="BJ974" s="28"/>
      <c r="BK974" s="28"/>
      <c r="BL974" s="28"/>
      <c r="BM974" s="28"/>
      <c r="BN974" s="28"/>
      <c r="BO974" s="28"/>
    </row>
    <row r="975">
      <c r="A975" s="1"/>
      <c r="B975" s="1"/>
      <c r="C975" s="1"/>
      <c r="D975" s="1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  <c r="BF975" s="28"/>
      <c r="BG975" s="28"/>
      <c r="BH975" s="46"/>
      <c r="BI975" s="29"/>
      <c r="BJ975" s="28"/>
      <c r="BK975" s="28"/>
      <c r="BL975" s="28"/>
      <c r="BM975" s="28"/>
      <c r="BN975" s="28"/>
      <c r="BO975" s="28"/>
    </row>
    <row r="976">
      <c r="A976" s="1"/>
      <c r="B976" s="1"/>
      <c r="C976" s="1"/>
      <c r="D976" s="1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  <c r="BF976" s="28"/>
      <c r="BG976" s="28"/>
      <c r="BH976" s="46"/>
      <c r="BI976" s="29"/>
      <c r="BJ976" s="28"/>
      <c r="BK976" s="28"/>
      <c r="BL976" s="28"/>
      <c r="BM976" s="28"/>
      <c r="BN976" s="28"/>
      <c r="BO976" s="28"/>
    </row>
    <row r="977">
      <c r="A977" s="1"/>
      <c r="B977" s="1"/>
      <c r="C977" s="1"/>
      <c r="D977" s="1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  <c r="BF977" s="28"/>
      <c r="BG977" s="28"/>
      <c r="BH977" s="46"/>
      <c r="BI977" s="29"/>
      <c r="BJ977" s="28"/>
      <c r="BK977" s="28"/>
      <c r="BL977" s="28"/>
      <c r="BM977" s="28"/>
      <c r="BN977" s="28"/>
      <c r="BO977" s="28"/>
    </row>
    <row r="978">
      <c r="A978" s="1"/>
      <c r="B978" s="1"/>
      <c r="C978" s="1"/>
      <c r="D978" s="1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  <c r="BF978" s="28"/>
      <c r="BG978" s="28"/>
      <c r="BH978" s="46"/>
      <c r="BI978" s="29"/>
      <c r="BJ978" s="28"/>
      <c r="BK978" s="28"/>
      <c r="BL978" s="28"/>
      <c r="BM978" s="28"/>
      <c r="BN978" s="28"/>
      <c r="BO978" s="28"/>
    </row>
    <row r="979">
      <c r="A979" s="1"/>
      <c r="B979" s="1"/>
      <c r="C979" s="1"/>
      <c r="D979" s="1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  <c r="BF979" s="28"/>
      <c r="BG979" s="28"/>
      <c r="BH979" s="46"/>
      <c r="BI979" s="29"/>
      <c r="BJ979" s="28"/>
      <c r="BK979" s="28"/>
      <c r="BL979" s="28"/>
      <c r="BM979" s="28"/>
      <c r="BN979" s="28"/>
      <c r="BO979" s="28"/>
    </row>
    <row r="980">
      <c r="A980" s="1"/>
      <c r="B980" s="1"/>
      <c r="C980" s="1"/>
      <c r="D980" s="1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  <c r="BF980" s="28"/>
      <c r="BG980" s="28"/>
      <c r="BH980" s="46"/>
      <c r="BI980" s="29"/>
      <c r="BJ980" s="28"/>
      <c r="BK980" s="28"/>
      <c r="BL980" s="28"/>
      <c r="BM980" s="28"/>
      <c r="BN980" s="28"/>
      <c r="BO980" s="28"/>
    </row>
    <row r="981">
      <c r="A981" s="1"/>
      <c r="B981" s="1"/>
      <c r="C981" s="1"/>
      <c r="D981" s="1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  <c r="BF981" s="28"/>
      <c r="BG981" s="28"/>
      <c r="BH981" s="46"/>
      <c r="BI981" s="29"/>
      <c r="BJ981" s="28"/>
      <c r="BK981" s="28"/>
      <c r="BL981" s="28"/>
      <c r="BM981" s="28"/>
      <c r="BN981" s="28"/>
      <c r="BO981" s="28"/>
    </row>
    <row r="982">
      <c r="A982" s="1"/>
      <c r="B982" s="1"/>
      <c r="C982" s="1"/>
      <c r="D982" s="1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  <c r="BF982" s="28"/>
      <c r="BG982" s="28"/>
      <c r="BH982" s="46"/>
      <c r="BI982" s="29"/>
      <c r="BJ982" s="28"/>
      <c r="BK982" s="28"/>
      <c r="BL982" s="28"/>
      <c r="BM982" s="28"/>
      <c r="BN982" s="28"/>
      <c r="BO982" s="28"/>
    </row>
    <row r="983">
      <c r="A983" s="1"/>
      <c r="B983" s="1"/>
      <c r="C983" s="1"/>
      <c r="D983" s="1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  <c r="BF983" s="28"/>
      <c r="BG983" s="28"/>
      <c r="BH983" s="46"/>
      <c r="BI983" s="29"/>
      <c r="BJ983" s="28"/>
      <c r="BK983" s="28"/>
      <c r="BL983" s="28"/>
      <c r="BM983" s="28"/>
      <c r="BN983" s="28"/>
      <c r="BO983" s="28"/>
    </row>
    <row r="984">
      <c r="A984" s="1"/>
      <c r="B984" s="1"/>
      <c r="C984" s="1"/>
      <c r="D984" s="1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  <c r="BF984" s="28"/>
      <c r="BG984" s="28"/>
      <c r="BH984" s="46"/>
      <c r="BI984" s="29"/>
      <c r="BJ984" s="28"/>
      <c r="BK984" s="28"/>
      <c r="BL984" s="28"/>
      <c r="BM984" s="28"/>
      <c r="BN984" s="28"/>
      <c r="BO984" s="28"/>
    </row>
    <row r="985">
      <c r="A985" s="1"/>
      <c r="B985" s="1"/>
      <c r="C985" s="1"/>
      <c r="D985" s="1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  <c r="BF985" s="28"/>
      <c r="BG985" s="28"/>
      <c r="BH985" s="46"/>
      <c r="BI985" s="29"/>
      <c r="BJ985" s="28"/>
      <c r="BK985" s="28"/>
      <c r="BL985" s="28"/>
      <c r="BM985" s="28"/>
      <c r="BN985" s="28"/>
      <c r="BO985" s="28"/>
    </row>
    <row r="986">
      <c r="A986" s="1"/>
      <c r="B986" s="1"/>
      <c r="C986" s="1"/>
      <c r="D986" s="1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  <c r="BF986" s="28"/>
      <c r="BG986" s="28"/>
      <c r="BH986" s="46"/>
      <c r="BI986" s="29"/>
      <c r="BJ986" s="28"/>
      <c r="BK986" s="28"/>
      <c r="BL986" s="28"/>
      <c r="BM986" s="28"/>
      <c r="BN986" s="28"/>
      <c r="BO986" s="28"/>
    </row>
    <row r="987">
      <c r="A987" s="1"/>
      <c r="B987" s="1"/>
      <c r="C987" s="1"/>
      <c r="D987" s="1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  <c r="BF987" s="28"/>
      <c r="BG987" s="28"/>
      <c r="BH987" s="46"/>
      <c r="BI987" s="29"/>
      <c r="BJ987" s="28"/>
      <c r="BK987" s="28"/>
      <c r="BL987" s="28"/>
      <c r="BM987" s="28"/>
      <c r="BN987" s="28"/>
      <c r="BO987" s="28"/>
    </row>
    <row r="988">
      <c r="A988" s="1"/>
      <c r="B988" s="1"/>
      <c r="C988" s="1"/>
      <c r="D988" s="1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  <c r="BF988" s="28"/>
      <c r="BG988" s="28"/>
      <c r="BH988" s="46"/>
      <c r="BI988" s="29"/>
      <c r="BJ988" s="28"/>
      <c r="BK988" s="28"/>
      <c r="BL988" s="28"/>
      <c r="BM988" s="28"/>
      <c r="BN988" s="28"/>
      <c r="BO988" s="28"/>
    </row>
    <row r="989">
      <c r="A989" s="1"/>
      <c r="B989" s="1"/>
      <c r="C989" s="1"/>
      <c r="D989" s="1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  <c r="BF989" s="28"/>
      <c r="BG989" s="28"/>
      <c r="BH989" s="46"/>
      <c r="BI989" s="29"/>
      <c r="BJ989" s="28"/>
      <c r="BK989" s="28"/>
      <c r="BL989" s="28"/>
      <c r="BM989" s="28"/>
      <c r="BN989" s="28"/>
      <c r="BO989" s="28"/>
    </row>
    <row r="990">
      <c r="A990" s="1"/>
      <c r="B990" s="1"/>
      <c r="C990" s="1"/>
      <c r="D990" s="1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  <c r="BF990" s="28"/>
      <c r="BG990" s="28"/>
      <c r="BH990" s="46"/>
      <c r="BI990" s="29"/>
      <c r="BJ990" s="28"/>
      <c r="BK990" s="28"/>
      <c r="BL990" s="28"/>
      <c r="BM990" s="28"/>
      <c r="BN990" s="28"/>
      <c r="BO990" s="28"/>
    </row>
    <row r="991">
      <c r="A991" s="1"/>
      <c r="B991" s="1"/>
      <c r="C991" s="1"/>
      <c r="D991" s="1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  <c r="BF991" s="28"/>
      <c r="BG991" s="28"/>
      <c r="BH991" s="46"/>
      <c r="BI991" s="29"/>
      <c r="BJ991" s="28"/>
      <c r="BK991" s="28"/>
      <c r="BL991" s="28"/>
      <c r="BM991" s="28"/>
      <c r="BN991" s="28"/>
      <c r="BO991" s="28"/>
    </row>
    <row r="992">
      <c r="A992" s="1"/>
      <c r="B992" s="1"/>
      <c r="C992" s="1"/>
      <c r="D992" s="1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  <c r="BF992" s="28"/>
      <c r="BG992" s="28"/>
      <c r="BH992" s="46"/>
      <c r="BI992" s="29"/>
      <c r="BJ992" s="28"/>
      <c r="BK992" s="28"/>
      <c r="BL992" s="28"/>
      <c r="BM992" s="28"/>
      <c r="BN992" s="28"/>
      <c r="BO992" s="28"/>
    </row>
    <row r="993">
      <c r="A993" s="1"/>
      <c r="B993" s="1"/>
      <c r="C993" s="1"/>
      <c r="D993" s="1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  <c r="BF993" s="28"/>
      <c r="BG993" s="28"/>
      <c r="BH993" s="46"/>
      <c r="BI993" s="29"/>
      <c r="BJ993" s="28"/>
      <c r="BK993" s="28"/>
      <c r="BL993" s="28"/>
      <c r="BM993" s="28"/>
      <c r="BN993" s="28"/>
      <c r="BO993" s="28"/>
    </row>
    <row r="994">
      <c r="A994" s="1"/>
      <c r="B994" s="1"/>
      <c r="C994" s="1"/>
      <c r="D994" s="1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  <c r="BF994" s="28"/>
      <c r="BG994" s="28"/>
      <c r="BH994" s="46"/>
      <c r="BI994" s="29"/>
      <c r="BJ994" s="28"/>
      <c r="BK994" s="28"/>
      <c r="BL994" s="28"/>
      <c r="BM994" s="28"/>
      <c r="BN994" s="28"/>
      <c r="BO994" s="28"/>
    </row>
    <row r="995">
      <c r="A995" s="1"/>
      <c r="B995" s="1"/>
      <c r="C995" s="1"/>
      <c r="D995" s="1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  <c r="BF995" s="28"/>
      <c r="BG995" s="28"/>
      <c r="BH995" s="46"/>
      <c r="BI995" s="29"/>
      <c r="BJ995" s="28"/>
      <c r="BK995" s="28"/>
      <c r="BL995" s="28"/>
      <c r="BM995" s="28"/>
      <c r="BN995" s="28"/>
      <c r="BO995" s="28"/>
    </row>
    <row r="996">
      <c r="A996" s="1"/>
      <c r="B996" s="1"/>
      <c r="C996" s="1"/>
      <c r="D996" s="1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  <c r="BF996" s="28"/>
      <c r="BG996" s="28"/>
      <c r="BH996" s="46"/>
      <c r="BI996" s="29"/>
      <c r="BJ996" s="28"/>
      <c r="BK996" s="28"/>
      <c r="BL996" s="28"/>
      <c r="BM996" s="28"/>
      <c r="BN996" s="28"/>
      <c r="BO996" s="28"/>
    </row>
    <row r="997">
      <c r="A997" s="1"/>
      <c r="B997" s="1"/>
      <c r="C997" s="1"/>
      <c r="D997" s="1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  <c r="BF997" s="28"/>
      <c r="BG997" s="28"/>
      <c r="BH997" s="46"/>
      <c r="BI997" s="29"/>
      <c r="BJ997" s="28"/>
      <c r="BK997" s="28"/>
      <c r="BL997" s="28"/>
      <c r="BM997" s="28"/>
      <c r="BN997" s="28"/>
      <c r="BO997" s="28"/>
    </row>
    <row r="998">
      <c r="A998" s="1"/>
      <c r="B998" s="1"/>
      <c r="C998" s="1"/>
      <c r="D998" s="1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  <c r="BF998" s="28"/>
      <c r="BG998" s="28"/>
      <c r="BH998" s="46"/>
      <c r="BI998" s="29"/>
      <c r="BJ998" s="28"/>
      <c r="BK998" s="28"/>
      <c r="BL998" s="28"/>
      <c r="BM998" s="28"/>
      <c r="BN998" s="28"/>
      <c r="BO998" s="28"/>
    </row>
    <row r="999">
      <c r="A999" s="1"/>
      <c r="B999" s="1"/>
      <c r="C999" s="1"/>
      <c r="D999" s="1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  <c r="BH999" s="46"/>
      <c r="BI999" s="29"/>
      <c r="BJ999" s="28"/>
      <c r="BK999" s="28"/>
      <c r="BL999" s="28"/>
      <c r="BM999" s="28"/>
      <c r="BN999" s="28"/>
      <c r="BO999" s="28"/>
    </row>
    <row r="1000">
      <c r="A1000" s="1"/>
      <c r="B1000" s="1"/>
      <c r="C1000" s="1"/>
      <c r="D1000" s="1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  <c r="BF1000" s="28"/>
      <c r="BG1000" s="28"/>
      <c r="BH1000" s="46"/>
      <c r="BI1000" s="29"/>
      <c r="BJ1000" s="28"/>
      <c r="BK1000" s="28"/>
      <c r="BL1000" s="28"/>
      <c r="BM1000" s="28"/>
      <c r="BN1000" s="28"/>
      <c r="BO1000" s="28"/>
    </row>
    <row r="1001">
      <c r="A1001" s="1"/>
      <c r="B1001" s="1"/>
      <c r="C1001" s="1"/>
      <c r="D1001" s="1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  <c r="AQ1001" s="28"/>
      <c r="AR1001" s="28"/>
      <c r="AS1001" s="28"/>
      <c r="AT1001" s="28"/>
      <c r="AU1001" s="28"/>
      <c r="AV1001" s="28"/>
      <c r="AW1001" s="28"/>
      <c r="AX1001" s="28"/>
      <c r="AY1001" s="28"/>
      <c r="AZ1001" s="28"/>
      <c r="BA1001" s="28"/>
      <c r="BB1001" s="28"/>
      <c r="BC1001" s="28"/>
      <c r="BD1001" s="28"/>
      <c r="BE1001" s="28"/>
      <c r="BF1001" s="28"/>
      <c r="BG1001" s="28"/>
      <c r="BH1001" s="46"/>
      <c r="BI1001" s="29"/>
      <c r="BJ1001" s="28"/>
      <c r="BK1001" s="28"/>
      <c r="BL1001" s="28"/>
      <c r="BM1001" s="28"/>
      <c r="BN1001" s="28"/>
      <c r="BO1001" s="28"/>
    </row>
    <row r="1002">
      <c r="A1002" s="1"/>
      <c r="B1002" s="1"/>
      <c r="C1002" s="1"/>
      <c r="D1002" s="1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  <c r="AQ1002" s="28"/>
      <c r="AR1002" s="28"/>
      <c r="AS1002" s="28"/>
      <c r="AT1002" s="28"/>
      <c r="AU1002" s="28"/>
      <c r="AV1002" s="28"/>
      <c r="AW1002" s="28"/>
      <c r="AX1002" s="28"/>
      <c r="AY1002" s="28"/>
      <c r="AZ1002" s="28"/>
      <c r="BA1002" s="28"/>
      <c r="BB1002" s="28"/>
      <c r="BC1002" s="28"/>
      <c r="BD1002" s="28"/>
      <c r="BE1002" s="28"/>
      <c r="BF1002" s="28"/>
      <c r="BG1002" s="28"/>
      <c r="BH1002" s="46"/>
      <c r="BI1002" s="29"/>
      <c r="BJ1002" s="28"/>
      <c r="BK1002" s="28"/>
      <c r="BL1002" s="28"/>
      <c r="BM1002" s="28"/>
      <c r="BN1002" s="28"/>
      <c r="BO1002" s="28"/>
    </row>
    <row r="1003">
      <c r="A1003" s="1"/>
      <c r="B1003" s="1"/>
      <c r="C1003" s="1"/>
      <c r="D1003" s="1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  <c r="AF1003" s="28"/>
      <c r="AG1003" s="28"/>
      <c r="AH1003" s="28"/>
      <c r="AI1003" s="28"/>
      <c r="AJ1003" s="28"/>
      <c r="AK1003" s="28"/>
      <c r="AL1003" s="28"/>
      <c r="AM1003" s="28"/>
      <c r="AN1003" s="28"/>
      <c r="AO1003" s="28"/>
      <c r="AP1003" s="28"/>
      <c r="AQ1003" s="28"/>
      <c r="AR1003" s="28"/>
      <c r="AS1003" s="28"/>
      <c r="AT1003" s="28"/>
      <c r="AU1003" s="28"/>
      <c r="AV1003" s="28"/>
      <c r="AW1003" s="28"/>
      <c r="AX1003" s="28"/>
      <c r="AY1003" s="28"/>
      <c r="AZ1003" s="28"/>
      <c r="BA1003" s="28"/>
      <c r="BB1003" s="28"/>
      <c r="BC1003" s="28"/>
      <c r="BD1003" s="28"/>
      <c r="BE1003" s="28"/>
      <c r="BF1003" s="28"/>
      <c r="BG1003" s="28"/>
      <c r="BH1003" s="46"/>
      <c r="BI1003" s="29"/>
      <c r="BJ1003" s="28"/>
      <c r="BK1003" s="28"/>
      <c r="BL1003" s="28"/>
      <c r="BM1003" s="28"/>
      <c r="BN1003" s="28"/>
      <c r="BO1003" s="28"/>
    </row>
    <row r="1004">
      <c r="A1004" s="1"/>
      <c r="B1004" s="1"/>
      <c r="C1004" s="1"/>
      <c r="D1004" s="1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  <c r="AE1004" s="28"/>
      <c r="AF1004" s="28"/>
      <c r="AG1004" s="28"/>
      <c r="AH1004" s="28"/>
      <c r="AI1004" s="28"/>
      <c r="AJ1004" s="28"/>
      <c r="AK1004" s="28"/>
      <c r="AL1004" s="28"/>
      <c r="AM1004" s="28"/>
      <c r="AN1004" s="28"/>
      <c r="AO1004" s="28"/>
      <c r="AP1004" s="28"/>
      <c r="AQ1004" s="28"/>
      <c r="AR1004" s="28"/>
      <c r="AS1004" s="28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23"/>
      <c r="BI1004" s="19"/>
      <c r="BJ1004" s="1"/>
      <c r="BK1004" s="1"/>
      <c r="BL1004" s="1"/>
      <c r="BM1004" s="1"/>
      <c r="BN1004" s="1"/>
      <c r="BO1004" s="1"/>
    </row>
  </sheetData>
  <conditionalFormatting sqref="D1 D4:D1004">
    <cfRule type="containsText" dxfId="0" priority="1" operator="containsText" text="Sun">
      <formula>NOT(ISERROR(SEARCH(("Sun"),(D1))))</formula>
    </cfRule>
  </conditionalFormatting>
  <dataValidations>
    <dataValidation type="list" allowBlank="1" sqref="E4:BC32 E33:W33 Y33:BC33 E34:BC50 E51:Y51 AA51 AC51 AP51:BC51 E52:BC123 E124:T124 V124:BC124 E125:BC337">
      <formula1>"P,A,H,D,L"</formula1>
    </dataValidation>
  </dataValidations>
  <drawing r:id="rId4"/>
  <legacyDrawing r:id="rId5"/>
</worksheet>
</file>